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MODELAN SIMULASI JURNAL\DATA\"/>
    </mc:Choice>
  </mc:AlternateContent>
  <xr:revisionPtr revIDLastSave="0" documentId="13_ncr:1_{05A8E4E4-9A00-4FBA-8B02-E8466FB8CC6C}" xr6:coauthVersionLast="47" xr6:coauthVersionMax="47" xr10:uidLastSave="{00000000-0000-0000-0000-000000000000}"/>
  <bookViews>
    <workbookView xWindow="-110" yWindow="-110" windowWidth="19420" windowHeight="11500" xr2:uid="{A7ED893E-B897-4F67-BBA6-C9A8B216E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87" i="1" l="1"/>
  <c r="P185" i="1" s="1"/>
  <c r="P184" i="1" s="1"/>
  <c r="Q184" i="1" s="1"/>
  <c r="P182" i="1"/>
  <c r="P171" i="1"/>
  <c r="P170" i="1" s="1"/>
  <c r="P163" i="1" s="1"/>
  <c r="P166" i="1"/>
  <c r="P158" i="1"/>
  <c r="P154" i="1" s="1"/>
  <c r="P146" i="1" s="1"/>
  <c r="P157" i="1"/>
  <c r="P155" i="1" s="1"/>
  <c r="P151" i="1"/>
  <c r="P148" i="1"/>
  <c r="P150" i="1" s="1"/>
  <c r="P143" i="1"/>
  <c r="P141" i="1"/>
  <c r="P139" i="1"/>
  <c r="P138" i="1" s="1"/>
  <c r="P136" i="1"/>
  <c r="P135" i="1" s="1"/>
  <c r="P133" i="1"/>
  <c r="P132" i="1" s="1"/>
  <c r="P130" i="1"/>
  <c r="P129" i="1" s="1"/>
  <c r="P125" i="1"/>
  <c r="P123" i="1"/>
  <c r="P121" i="1"/>
  <c r="P119" i="1"/>
  <c r="P117" i="1"/>
  <c r="P116" i="1"/>
  <c r="P114" i="1"/>
  <c r="P112" i="1"/>
  <c r="P111" i="1" s="1"/>
  <c r="P106" i="1"/>
  <c r="P104" i="1"/>
  <c r="P98" i="1"/>
  <c r="P97" i="1" s="1"/>
  <c r="P93" i="1"/>
  <c r="P91" i="1"/>
  <c r="P90" i="1" s="1"/>
  <c r="P88" i="1"/>
  <c r="P87" i="1" s="1"/>
  <c r="P82" i="1"/>
  <c r="P80" i="1"/>
  <c r="P78" i="1"/>
  <c r="P76" i="1"/>
  <c r="P74" i="1"/>
  <c r="P72" i="1"/>
  <c r="P68" i="1"/>
  <c r="P66" i="1"/>
  <c r="P64" i="1"/>
  <c r="P62" i="1"/>
  <c r="P58" i="1"/>
  <c r="P56" i="1"/>
  <c r="P54" i="1"/>
  <c r="P52" i="1"/>
  <c r="P46" i="1"/>
  <c r="P45" i="1"/>
  <c r="P43" i="1" s="1"/>
  <c r="P42" i="1" s="1"/>
  <c r="P39" i="1"/>
  <c r="P37" i="1" s="1"/>
  <c r="P31" i="1"/>
  <c r="P29" i="1" s="1"/>
  <c r="P28" i="1" s="1"/>
  <c r="P27" i="1" s="1"/>
  <c r="P24" i="1"/>
  <c r="P23" i="1" s="1"/>
  <c r="P21" i="1" s="1"/>
  <c r="P20" i="1" s="1"/>
  <c r="P19" i="1" s="1"/>
  <c r="R178" i="1"/>
  <c r="Q36" i="1"/>
  <c r="P109" i="1" l="1"/>
  <c r="P18" i="1"/>
  <c r="P179" i="1"/>
  <c r="P95" i="1"/>
  <c r="P103" i="1"/>
  <c r="P101" i="1" s="1"/>
  <c r="P100" i="1" s="1"/>
  <c r="Q100" i="1" s="1"/>
  <c r="P85" i="1"/>
  <c r="P84" i="1" s="1"/>
  <c r="P51" i="1"/>
  <c r="P49" i="1" s="1"/>
  <c r="P48" i="1" s="1"/>
  <c r="Q48" i="1" s="1"/>
  <c r="P127" i="1"/>
  <c r="P108" i="1" s="1"/>
  <c r="P160" i="1"/>
  <c r="Q160" i="1" s="1"/>
  <c r="P162" i="1"/>
  <c r="P161" i="1"/>
  <c r="P145" i="1"/>
  <c r="Q145" i="1" s="1"/>
  <c r="Q42" i="1"/>
  <c r="Q138" i="1"/>
  <c r="P181" i="1" l="1"/>
  <c r="P178" i="1"/>
  <c r="P177" i="1" s="1"/>
  <c r="P176" i="1" s="1"/>
  <c r="P175" i="1" s="1"/>
  <c r="P174" i="1" s="1"/>
  <c r="Q197" i="1" s="1"/>
  <c r="P5" i="1"/>
  <c r="S192" i="1"/>
  <c r="P35" i="1"/>
  <c r="P34" i="1" s="1"/>
  <c r="P33" i="1" s="1"/>
  <c r="Q108" i="1"/>
  <c r="Q84" i="1"/>
  <c r="P4" i="1" l="1"/>
  <c r="Q192" i="1"/>
  <c r="R192" i="1" l="1"/>
  <c r="Q194" i="1" s="1"/>
  <c r="R195" i="1" s="1"/>
  <c r="P189" i="1"/>
  <c r="T192" i="1" s="1"/>
  <c r="U193" i="1" s="1"/>
  <c r="U196" i="1" s="1"/>
  <c r="P3" i="1"/>
  <c r="R194" i="1" l="1"/>
</calcChain>
</file>

<file path=xl/sharedStrings.xml><?xml version="1.0" encoding="utf-8"?>
<sst xmlns="http://schemas.openxmlformats.org/spreadsheetml/2006/main" count="277" uniqueCount="218">
  <si>
    <t>Kode Rekening</t>
  </si>
  <si>
    <t>Jumlah</t>
  </si>
  <si>
    <t>Koefisien</t>
  </si>
  <si>
    <t>Satuan</t>
  </si>
  <si>
    <t>Harga</t>
  </si>
  <si>
    <t>PPN</t>
  </si>
  <si>
    <t>BELANJA DAERAH</t>
  </si>
  <si>
    <t>5.1</t>
  </si>
  <si>
    <t>BELANJA OPERASI</t>
  </si>
  <si>
    <t>5.1.01</t>
  </si>
  <si>
    <t>Belanja Pegawai</t>
  </si>
  <si>
    <t>5.1.01.01</t>
  </si>
  <si>
    <t>Belanja Gaji dan Tunjangan ASN</t>
  </si>
  <si>
    <t>5.1.01.01.09</t>
  </si>
  <si>
    <t>Belanja Iuran Jaminan Kesehatan ASN</t>
  </si>
  <si>
    <t>5.1.01.01.09.0001</t>
  </si>
  <si>
    <t>Belanja Iuran Jaminan Kesehatan PNS</t>
  </si>
  <si>
    <t>[#] Iuran Jaminan Kesehatan</t>
  </si>
  <si>
    <t>Sumber Dana : Pendapatan Dana Kapitasi JKN Pada FKTP</t>
  </si>
  <si>
    <t>[-] Jaminan Kesehatan</t>
  </si>
  <si>
    <t>Tahun</t>
  </si>
  <si>
    <t>5.1.01.01.09.0002</t>
  </si>
  <si>
    <t>Belanja Iuran Jaminan Kesehatan PPPK</t>
  </si>
  <si>
    <t>5.1.01.03</t>
  </si>
  <si>
    <t>Tambahan Penghasilan berdasarkan Pertimbangan Objektif Lainnya ASN</t>
  </si>
  <si>
    <t>5.1.01.03.06</t>
  </si>
  <si>
    <t>Belanja Jasa Pelayanan Kesehatan Bagi ASN</t>
  </si>
  <si>
    <t>5.1.01.03.06.0001</t>
  </si>
  <si>
    <t>[#] JASA PELAYANAN RUMAH SAKIT</t>
  </si>
  <si>
    <t xml:space="preserve">      Sumber Dana: Pendapatan Dana Kapitasi JKN pada FKTP</t>
  </si>
  <si>
    <t>[-] JASA PELAYANAN (KAPITASI)</t>
  </si>
  <si>
    <t>Spesifikasi : Jasa Pelayanan / Kapitasi</t>
  </si>
  <si>
    <t>uptd rumah Sakit Pratama Tanjung Keramat</t>
  </si>
  <si>
    <t>5.1.01.03.08</t>
  </si>
  <si>
    <t>Belanja Jasa Pengelolaan BMD</t>
  </si>
  <si>
    <t>5.1.01.03.08.0002</t>
  </si>
  <si>
    <t>Belanja Jasa Pengelolaan BMD yang Tidak Menghasilkan Pendapatan</t>
  </si>
  <si>
    <t xml:space="preserve">[ #] Honorium  Pengurus Barang                                                                                                                                                                                                                     </t>
  </si>
  <si>
    <t xml:space="preserve"> Sumber  Dana : Pendapatan Dana Kapitasi JKN pada FKTP</t>
  </si>
  <si>
    <t xml:space="preserve">[-] Honorium  Pengurus Barang      </t>
  </si>
  <si>
    <t>Jasa Pengelola BMD Pembantu Pengurus Barang
Spesifikasi : UPTD Rumah Sakit dan Sekolah</t>
  </si>
  <si>
    <t>Bulan</t>
  </si>
  <si>
    <t>5.1.02</t>
  </si>
  <si>
    <t>Belanja Barang dan Jasa</t>
  </si>
  <si>
    <t>5.1.02.01</t>
  </si>
  <si>
    <t>Belanja Barang</t>
  </si>
  <si>
    <t>5.1.02.01.01</t>
  </si>
  <si>
    <t>Belanja Barang Pakai Habis</t>
  </si>
  <si>
    <t>5.1.02.01.01.0002</t>
  </si>
  <si>
    <t>Belanja Bahan-Bahan Kimia</t>
  </si>
  <si>
    <t>[#] Bahan-Bahan Kimia</t>
  </si>
  <si>
    <t>[ - ] Racun Rumput</t>
  </si>
  <si>
    <t>Racun rumput</t>
  </si>
  <si>
    <t>Botol</t>
  </si>
  <si>
    <t xml:space="preserve">      Spesifikasi : Racun rumput volume isi 1 liter</t>
  </si>
  <si>
    <t>5.1.02.01.01.0012</t>
  </si>
  <si>
    <t>Belanja Bahan-Bahan Lainya</t>
  </si>
  <si>
    <t>[#] Bahan Habis Pakai Kesling</t>
  </si>
  <si>
    <t>[ - ] Belanja Plastik Limbah</t>
  </si>
  <si>
    <t>Bahan Lainnya</t>
  </si>
  <si>
    <t>Pak</t>
  </si>
  <si>
    <t xml:space="preserve">      Spesifikasi : Plastik Limbah</t>
  </si>
  <si>
    <t>5.1.02.01.01.0024</t>
  </si>
  <si>
    <t>Belanja Alat/Bahan untuk Kegiatan Kantor-Alat Tulis Kantor</t>
  </si>
  <si>
    <t>[#] Alat Tulis Kantor (ATK)</t>
  </si>
  <si>
    <t>[-] Alat Tulis Kantor</t>
  </si>
  <si>
    <t>Tipe Ex</t>
  </si>
  <si>
    <t>Buah</t>
  </si>
  <si>
    <t xml:space="preserve">      Spesifikasi : Biasa</t>
  </si>
  <si>
    <t>Isi cutter Cutter L-500</t>
  </si>
  <si>
    <t>Tube</t>
  </si>
  <si>
    <t>Pcs</t>
  </si>
  <si>
    <t xml:space="preserve">    Spesifikasi</t>
  </si>
  <si>
    <t>Lakban Bening 48 mm</t>
  </si>
  <si>
    <t>Roll</t>
  </si>
  <si>
    <t xml:space="preserve">     Spesifikasi: NaN</t>
  </si>
  <si>
    <t>Cutter L-500</t>
  </si>
  <si>
    <t xml:space="preserve">      Spesifikasi: NaN</t>
  </si>
  <si>
    <t>Lakban Hitam 48 mm</t>
  </si>
  <si>
    <t>Double Tape 2 Inch</t>
  </si>
  <si>
    <t>Kertas Hvs F4</t>
  </si>
  <si>
    <t>Rim</t>
  </si>
  <si>
    <t xml:space="preserve">    Spesifikasi: 70 Gram 216 x 330 mm</t>
  </si>
  <si>
    <t>Isi Stapler</t>
  </si>
  <si>
    <t>Kotak</t>
  </si>
  <si>
    <t xml:space="preserve">     Spesifikasi: No. 10-1 M</t>
  </si>
  <si>
    <t>Amplop</t>
  </si>
  <si>
    <t xml:space="preserve">    Spesifikasi: No.90</t>
  </si>
  <si>
    <t>Amplop Coklat</t>
  </si>
  <si>
    <t xml:space="preserve">    Spesifikasi: Samson / D Ukuran : 24 x 35 Cm</t>
  </si>
  <si>
    <t>Pulpen</t>
  </si>
  <si>
    <t xml:space="preserve">   Spesifikasi : Balliner Biru</t>
  </si>
  <si>
    <t xml:space="preserve">   Spesifikasi : K1</t>
  </si>
  <si>
    <t>Lem</t>
  </si>
  <si>
    <t xml:space="preserve">    Spesifikasi : Lem Glue stick 8 Gr</t>
  </si>
  <si>
    <t xml:space="preserve">     Spesifikasi: Besar No.3/Pack Isi 20 Kotak </t>
  </si>
  <si>
    <t>Stapler Besar</t>
  </si>
  <si>
    <t xml:space="preserve">   Spesifikasi : HD 50</t>
  </si>
  <si>
    <t>Kertas Hvs A4</t>
  </si>
  <si>
    <t xml:space="preserve">    Spesifikasi: 70 Gram 210 x 297 mm</t>
  </si>
  <si>
    <t>5.1.02.01.01.0026</t>
  </si>
  <si>
    <t>Belanja Alat/Bahan untuk Kegiatan Kantor- Bahan Cetak</t>
  </si>
  <si>
    <t>[#] Belanja Bahan Cetak</t>
  </si>
  <si>
    <t>[-] Belanja Materai</t>
  </si>
  <si>
    <t>Materai</t>
  </si>
  <si>
    <t>Lembar</t>
  </si>
  <si>
    <t xml:space="preserve">    Spesifikasi: 10.000</t>
  </si>
  <si>
    <t>[-] Belanja Spanduk</t>
  </si>
  <si>
    <t>Banner</t>
  </si>
  <si>
    <t>Spesifikasi: Standing Banner</t>
  </si>
  <si>
    <t>Spanduk</t>
  </si>
  <si>
    <t>Meter</t>
  </si>
  <si>
    <t xml:space="preserve">   Spesifikasi : Ukuran 1 x 3 m</t>
  </si>
  <si>
    <t>[#] Penggandaan</t>
  </si>
  <si>
    <t>[-] Fotocopy</t>
  </si>
  <si>
    <t>Foto copy F4 70 Gr</t>
  </si>
  <si>
    <t xml:space="preserve">    Spesifikasi: NaN</t>
  </si>
  <si>
    <t>5.1.02.01.01.0029</t>
  </si>
  <si>
    <t>Belanja Alat/Bahan untuk Kegiatan Kantor- Bahan Komputer</t>
  </si>
  <si>
    <t>[-] Bahan Komputer</t>
  </si>
  <si>
    <t xml:space="preserve">Tinta Printer </t>
  </si>
  <si>
    <t xml:space="preserve">    Spesifikasi: 003 Black</t>
  </si>
  <si>
    <t xml:space="preserve">    Spesifikasi: 003 Color</t>
  </si>
  <si>
    <t>5.1.02.01.01.0030</t>
  </si>
  <si>
    <t>Belanja Alat/Bahan untuk Kegiatan Kantor- Perabot Kantor</t>
  </si>
  <si>
    <t>[#] Bahan Kantor Lainnya</t>
  </si>
  <si>
    <t>[-] Belanja Alat</t>
  </si>
  <si>
    <t>Gembok</t>
  </si>
  <si>
    <t xml:space="preserve">    Spesifikasi: Silinder dan Casing Silinder Terbuat dari Kuningan</t>
  </si>
  <si>
    <t>Tempat Sampah 15 Liter</t>
  </si>
  <si>
    <t xml:space="preserve">    Spesifikasi: </t>
  </si>
  <si>
    <t>[-] Bahan Bahan Kebersihaan</t>
  </si>
  <si>
    <t>Sabun cuci piring</t>
  </si>
  <si>
    <t xml:space="preserve">    Spesifikasi: Sabun cuci piring</t>
  </si>
  <si>
    <t>Deterjen</t>
  </si>
  <si>
    <t xml:space="preserve">    Spesifikasi:</t>
  </si>
  <si>
    <t>Cairan Pembersih Lantai</t>
  </si>
  <si>
    <t xml:space="preserve">    Spesifikasi: Cairan pembersih lantai 3,7 L</t>
  </si>
  <si>
    <t>Cairan Pembersih Toilet</t>
  </si>
  <si>
    <t xml:space="preserve">    Spesifikasi: Keramik Toilet/Kloset 1000 Ml</t>
  </si>
  <si>
    <t>Tissue 250 sheet 2 ply</t>
  </si>
  <si>
    <t>Per Bungkus</t>
  </si>
  <si>
    <t>[#] Bahan Lainnya</t>
  </si>
  <si>
    <t>[-] Bahan lainnya</t>
  </si>
  <si>
    <t>Bahan Kimia Untuk Pembersih</t>
  </si>
  <si>
    <t>Kaleng</t>
  </si>
  <si>
    <t xml:space="preserve">    Spesifikasi: Pengharum ruangan spray</t>
  </si>
  <si>
    <t>Pengharum Ruangan (Kamper)</t>
  </si>
  <si>
    <t xml:space="preserve">    Spesifikasi: Kapur Barus Toilet Ball</t>
  </si>
  <si>
    <t>[-] CCTV</t>
  </si>
  <si>
    <t>CCTV 360 Derajat</t>
  </si>
  <si>
    <t>unit</t>
  </si>
  <si>
    <t>5.1.02.01.01.0036</t>
  </si>
  <si>
    <t>Belanja Alat/Bahan untuk Kegiatan Kantor Alat/Bahan untuk Kegiatan Kantor Lainnya</t>
  </si>
  <si>
    <t>Kantong plastik sampah tebal Uk. 40 x 60 Cm</t>
  </si>
  <si>
    <t>Pack</t>
  </si>
  <si>
    <t>Hand Wash</t>
  </si>
  <si>
    <t xml:space="preserve">    Spesifikasi: Kemasan Kecil</t>
  </si>
  <si>
    <t>5.1.02.02</t>
  </si>
  <si>
    <t>Belanja Jasa</t>
  </si>
  <si>
    <t>5.1.02.02.01</t>
  </si>
  <si>
    <t>Belanja Jasa Kantor</t>
  </si>
  <si>
    <t>5.1.02.02.01.0004</t>
  </si>
  <si>
    <t>Honorarium Tim Pelaksana Kegiatan dan Sekretariat Tim Pelaksana Kegiatan</t>
  </si>
  <si>
    <t>[#] Honor Bendahara JKN</t>
  </si>
  <si>
    <t>[-] Honor Bendahara JKN</t>
  </si>
  <si>
    <t xml:space="preserve">Beban Honorarium Tim Pelaksana Kegiatan </t>
  </si>
  <si>
    <t>Dan Sekretariat Tim Pelaksana Kegiatan</t>
  </si>
  <si>
    <t xml:space="preserve">    Spesifikasi: Honorarium Bendahara Dana Kapitasi JKN</t>
  </si>
  <si>
    <t>5.1.02.02.01.0063</t>
  </si>
  <si>
    <t>Belanja Kawat/Faksimili/Internet/TV Berlangganan</t>
  </si>
  <si>
    <t xml:space="preserve">[#] Dukungan Internet untuk pelayanan kesehatan </t>
  </si>
  <si>
    <t xml:space="preserve">[-] Dukungan Internet untuk pelayanan kesehatan </t>
  </si>
  <si>
    <t>Biaya Paket Data/Pulsa</t>
  </si>
  <si>
    <t>Paket</t>
  </si>
  <si>
    <t xml:space="preserve">    Spesifikasi: Paket Data 150.000</t>
  </si>
  <si>
    <t>5.1.02.04</t>
  </si>
  <si>
    <t>Belanja Perjalanan Dinas</t>
  </si>
  <si>
    <t>5.1.02.04.01</t>
  </si>
  <si>
    <t>Belanja Perjalanan Dinas Dalam Negeri</t>
  </si>
  <si>
    <t>5.1.02.04.01.0003</t>
  </si>
  <si>
    <t>Belanja Perjalanan Dinas Dalam Kota</t>
  </si>
  <si>
    <t xml:space="preserve">[#] Perjalanan Dinas dalam kota </t>
  </si>
  <si>
    <t>[-] Transport Darat Air Perjalanan Dinas Rumah Sakit Pratama Tanjung Keramat - Tideng Pale</t>
  </si>
  <si>
    <t>Biaya Transportasi Darat Dan Air - Dalam</t>
  </si>
  <si>
    <t>Kali</t>
  </si>
  <si>
    <t>Kecamatan Dan Antar Kecamatan</t>
  </si>
  <si>
    <t xml:space="preserve">    Spesifikasi: Rumah Sakit PratamaTana Lia - Tideng</t>
  </si>
  <si>
    <t>Pale (Pp) Darat</t>
  </si>
  <si>
    <t>[-] Uang Harian</t>
  </si>
  <si>
    <t>Uang Harian Perjalanan Dinas Dalam Negeri</t>
  </si>
  <si>
    <t>Orang / Hari</t>
  </si>
  <si>
    <t>Untuk Dalam Kota Lebih Dari 8 (Delapan) Jam</t>
  </si>
  <si>
    <t xml:space="preserve">    Spesifikasi: Kabupaten Tana Tidung</t>
  </si>
  <si>
    <t>5.2</t>
  </si>
  <si>
    <t>BELANJA MODAL</t>
  </si>
  <si>
    <t>5.2.02</t>
  </si>
  <si>
    <r>
      <rPr>
        <b/>
        <sz val="9"/>
        <rFont val="Arial"/>
        <family val="2"/>
      </rPr>
      <t>Belanja Modal Peralatan dan Mesin</t>
    </r>
  </si>
  <si>
    <t>[#] Belanja Peralatan Cetak</t>
  </si>
  <si>
    <t>[-] Belanja Peralatan Cetak</t>
  </si>
  <si>
    <t>Mesin Press Obat</t>
  </si>
  <si>
    <t>Unit</t>
  </si>
  <si>
    <t xml:space="preserve">    Spesifikasi: Alat Pemanas Terbuat Dari Baja, Body Anti Karat, Dimensi 40 Cm X 18 </t>
  </si>
  <si>
    <t>Belanja Bahan Bangunan dan Konstruksi</t>
  </si>
  <si>
    <t>[#] Bahan Lampu Darurat</t>
  </si>
  <si>
    <t>LaMpuDarurat (EMergency LaMp )</t>
  </si>
  <si>
    <t>Jumlah :</t>
  </si>
  <si>
    <t>Kab. Tana Tidung …........................</t>
  </si>
  <si>
    <t>Kepala Dinas Kesehatan</t>
  </si>
  <si>
    <t>barang dan jasa</t>
  </si>
  <si>
    <t>operasional</t>
  </si>
  <si>
    <t>penghasilan tambahan</t>
  </si>
  <si>
    <t>total</t>
  </si>
  <si>
    <t>pagu jaspel &amp; operasional</t>
  </si>
  <si>
    <t>H. Mohamad Sarif, S.Pi, M.Hp</t>
  </si>
  <si>
    <t>modal</t>
  </si>
  <si>
    <t>NIP. 197902012000121003</t>
  </si>
  <si>
    <t>URAIAN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</si>
</sst>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p&quot;* #,##0.00_-;\-&quot;Rp&quot;* #,##0.00_-;_-&quot;Rp&quot;* &quot;-&quot;??_-;_-@_-"/>
    <numFmt numFmtId="164" formatCode="_-[$Rp-421]* #,##0_-;\-[$Rp-421]* #,##0_-;_-[$Rp-421]* &quot;-&quot;??_-;_-@_-"/>
    <numFmt numFmtId="165" formatCode="_-[$Rp-421]* #,##0.00_-;\-[$Rp-421]* #,##0.00_-;_-[$Rp-421]* &quot;-&quot;??_-;_-@_-"/>
    <numFmt numFmtId="166" formatCode="_([$Rp-421]* #,##0.00_);_([$Rp-421]* \(#,##0.00\);_([$Rp-421]* &quot;-&quot;??_);_(@_)"/>
    <numFmt numFmtId="167" formatCode="_(&quot;Rp&quot;* #,##0.00_);_(&quot;Rp&quot;* \(#,##0.00\);_(&quot;Rp&quot;* &quot;-&quot;??_);_(@_)"/>
    <numFmt numFmtId="168" formatCode="_-&quot;Rp&quot;* #,##0_-;\-&quot;Rp&quot;* #,##0_-;_-&quot;Rp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2">
    <xf numFmtId="0" fontId="0" fillId="0" borderId="0" xfId="0"/>
    <xf numFmtId="0" fontId="2" fillId="0" borderId="0" xfId="0" applyFont="1"/>
    <xf numFmtId="164" fontId="3" fillId="0" borderId="1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4" fontId="3" fillId="0" borderId="12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164" fontId="3" fillId="0" borderId="7" xfId="0" applyNumberFormat="1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164" fontId="3" fillId="0" borderId="10" xfId="0" applyNumberFormat="1" applyFont="1" applyBorder="1" applyAlignment="1">
      <alignment vertical="center"/>
    </xf>
    <xf numFmtId="166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3" xfId="0" applyFont="1" applyFill="1" applyBorder="1" applyAlignment="1">
      <alignment horizontal="left" vertical="center"/>
    </xf>
    <xf numFmtId="164" fontId="3" fillId="2" borderId="7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164" fontId="3" fillId="2" borderId="10" xfId="0" applyNumberFormat="1" applyFont="1" applyFill="1" applyBorder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166" fontId="2" fillId="2" borderId="0" xfId="0" applyNumberFormat="1" applyFont="1" applyFill="1" applyAlignment="1">
      <alignment vertical="center"/>
    </xf>
    <xf numFmtId="164" fontId="3" fillId="3" borderId="13" xfId="0" applyNumberFormat="1" applyFont="1" applyFill="1" applyBorder="1" applyAlignment="1">
      <alignment vertical="center"/>
    </xf>
    <xf numFmtId="164" fontId="3" fillId="3" borderId="7" xfId="0" applyNumberFormat="1" applyFont="1" applyFill="1" applyBorder="1" applyAlignment="1">
      <alignment vertical="center"/>
    </xf>
    <xf numFmtId="164" fontId="2" fillId="3" borderId="8" xfId="0" applyNumberFormat="1" applyFont="1" applyFill="1" applyBorder="1" applyAlignment="1">
      <alignment vertical="center"/>
    </xf>
    <xf numFmtId="0" fontId="2" fillId="3" borderId="8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164" fontId="3" fillId="3" borderId="10" xfId="0" applyNumberFormat="1" applyFont="1" applyFill="1" applyBorder="1" applyAlignment="1">
      <alignment vertical="center"/>
    </xf>
    <xf numFmtId="166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164" fontId="3" fillId="0" borderId="13" xfId="0" applyNumberFormat="1" applyFont="1" applyBorder="1" applyAlignment="1">
      <alignment vertical="center"/>
    </xf>
    <xf numFmtId="164" fontId="3" fillId="0" borderId="12" xfId="0" applyNumberFormat="1" applyFont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164" fontId="3" fillId="0" borderId="1" xfId="0" applyNumberFormat="1" applyFont="1" applyBorder="1"/>
    <xf numFmtId="16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164" fontId="4" fillId="0" borderId="12" xfId="0" applyNumberFormat="1" applyFont="1" applyBorder="1" applyAlignment="1">
      <alignment vertical="center"/>
    </xf>
    <xf numFmtId="164" fontId="3" fillId="0" borderId="4" xfId="0" applyNumberFormat="1" applyFont="1" applyBorder="1" applyAlignment="1">
      <alignment vertical="top"/>
    </xf>
    <xf numFmtId="164" fontId="2" fillId="0" borderId="5" xfId="0" applyNumberFormat="1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164" fontId="4" fillId="0" borderId="7" xfId="0" applyNumberFormat="1" applyFont="1" applyBorder="1"/>
    <xf numFmtId="164" fontId="2" fillId="0" borderId="8" xfId="0" applyNumberFormat="1" applyFont="1" applyBorder="1"/>
    <xf numFmtId="0" fontId="2" fillId="0" borderId="8" xfId="0" applyFont="1" applyBorder="1" applyAlignment="1">
      <alignment horizontal="left"/>
    </xf>
    <xf numFmtId="0" fontId="2" fillId="0" borderId="8" xfId="0" applyFont="1" applyBorder="1"/>
    <xf numFmtId="164" fontId="5" fillId="0" borderId="10" xfId="0" applyNumberFormat="1" applyFont="1" applyBorder="1" applyAlignment="1">
      <alignment vertical="center"/>
    </xf>
    <xf numFmtId="164" fontId="5" fillId="0" borderId="7" xfId="0" applyNumberFormat="1" applyFont="1" applyBorder="1" applyAlignment="1">
      <alignment vertical="center"/>
    </xf>
    <xf numFmtId="164" fontId="5" fillId="0" borderId="8" xfId="0" applyNumberFormat="1" applyFont="1" applyBorder="1" applyAlignment="1">
      <alignment vertical="center"/>
    </xf>
    <xf numFmtId="164" fontId="5" fillId="0" borderId="9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9" xfId="0" applyFont="1" applyBorder="1"/>
    <xf numFmtId="164" fontId="3" fillId="0" borderId="10" xfId="0" applyNumberFormat="1" applyFont="1" applyBorder="1"/>
    <xf numFmtId="164" fontId="2" fillId="0" borderId="11" xfId="0" applyNumberFormat="1" applyFont="1" applyBorder="1"/>
    <xf numFmtId="164" fontId="2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164" fontId="2" fillId="0" borderId="12" xfId="0" applyNumberFormat="1" applyFont="1" applyBorder="1"/>
    <xf numFmtId="164" fontId="2" fillId="0" borderId="5" xfId="0" applyNumberFormat="1" applyFont="1" applyBorder="1"/>
    <xf numFmtId="0" fontId="2" fillId="0" borderId="5" xfId="0" applyFont="1" applyBorder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164" fontId="2" fillId="0" borderId="10" xfId="0" applyNumberFormat="1" applyFont="1" applyBorder="1"/>
    <xf numFmtId="164" fontId="2" fillId="0" borderId="9" xfId="0" applyNumberFormat="1" applyFont="1" applyBorder="1"/>
    <xf numFmtId="164" fontId="3" fillId="4" borderId="10" xfId="0" applyNumberFormat="1" applyFont="1" applyFill="1" applyBorder="1" applyAlignment="1">
      <alignment vertical="center"/>
    </xf>
    <xf numFmtId="164" fontId="3" fillId="4" borderId="7" xfId="0" applyNumberFormat="1" applyFont="1" applyFill="1" applyBorder="1" applyAlignment="1">
      <alignment vertical="center"/>
    </xf>
    <xf numFmtId="164" fontId="3" fillId="4" borderId="8" xfId="0" applyNumberFormat="1" applyFont="1" applyFill="1" applyBorder="1" applyAlignment="1">
      <alignment vertical="center"/>
    </xf>
    <xf numFmtId="0" fontId="3" fillId="4" borderId="8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166" fontId="3" fillId="4" borderId="0" xfId="0" applyNumberFormat="1" applyFont="1" applyFill="1" applyAlignment="1">
      <alignment vertical="center"/>
    </xf>
    <xf numFmtId="0" fontId="3" fillId="4" borderId="0" xfId="0" applyFont="1" applyFill="1" applyAlignment="1">
      <alignment vertical="center"/>
    </xf>
    <xf numFmtId="164" fontId="3" fillId="0" borderId="8" xfId="0" applyNumberFormat="1" applyFont="1" applyBorder="1" applyAlignment="1">
      <alignment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12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vertical="center"/>
    </xf>
    <xf numFmtId="164" fontId="5" fillId="0" borderId="1" xfId="0" applyNumberFormat="1" applyFont="1" applyBorder="1"/>
    <xf numFmtId="164" fontId="2" fillId="0" borderId="3" xfId="0" applyNumberFormat="1" applyFont="1" applyBorder="1"/>
    <xf numFmtId="44" fontId="2" fillId="0" borderId="0" xfId="1" applyFont="1" applyFill="1"/>
    <xf numFmtId="164" fontId="2" fillId="0" borderId="13" xfId="0" applyNumberFormat="1" applyFont="1" applyBorder="1"/>
    <xf numFmtId="164" fontId="5" fillId="0" borderId="14" xfId="0" applyNumberFormat="1" applyFont="1" applyBorder="1" applyAlignment="1">
      <alignment vertical="center"/>
    </xf>
    <xf numFmtId="164" fontId="2" fillId="0" borderId="0" xfId="0" applyNumberFormat="1" applyFont="1"/>
    <xf numFmtId="164" fontId="2" fillId="0" borderId="15" xfId="0" applyNumberFormat="1" applyFont="1" applyBorder="1"/>
    <xf numFmtId="0" fontId="5" fillId="0" borderId="15" xfId="0" applyFont="1" applyBorder="1" applyAlignment="1">
      <alignment horizontal="left" vertical="center"/>
    </xf>
    <xf numFmtId="164" fontId="5" fillId="0" borderId="4" xfId="0" applyNumberFormat="1" applyFont="1" applyBorder="1" applyAlignment="1">
      <alignment vertical="top"/>
    </xf>
    <xf numFmtId="164" fontId="2" fillId="0" borderId="6" xfId="0" applyNumberFormat="1" applyFont="1" applyBorder="1"/>
    <xf numFmtId="0" fontId="5" fillId="0" borderId="6" xfId="0" applyFont="1" applyBorder="1" applyAlignment="1">
      <alignment horizontal="left" vertical="center"/>
    </xf>
    <xf numFmtId="44" fontId="2" fillId="0" borderId="0" xfId="0" applyNumberFormat="1" applyFont="1"/>
    <xf numFmtId="164" fontId="4" fillId="0" borderId="11" xfId="0" applyNumberFormat="1" applyFont="1" applyBorder="1"/>
    <xf numFmtId="0" fontId="4" fillId="0" borderId="0" xfId="0" applyFont="1"/>
    <xf numFmtId="164" fontId="4" fillId="0" borderId="12" xfId="0" applyNumberFormat="1" applyFont="1" applyBorder="1"/>
    <xf numFmtId="164" fontId="3" fillId="0" borderId="5" xfId="0" applyNumberFormat="1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164" fontId="4" fillId="0" borderId="10" xfId="0" applyNumberFormat="1" applyFont="1" applyBorder="1"/>
    <xf numFmtId="164" fontId="3" fillId="0" borderId="8" xfId="0" applyNumberFormat="1" applyFont="1" applyBorder="1"/>
    <xf numFmtId="164" fontId="4" fillId="0" borderId="8" xfId="0" applyNumberFormat="1" applyFont="1" applyBorder="1"/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65" fontId="2" fillId="3" borderId="0" xfId="0" applyNumberFormat="1" applyFont="1" applyFill="1"/>
    <xf numFmtId="0" fontId="2" fillId="3" borderId="0" xfId="0" applyFont="1" applyFill="1"/>
    <xf numFmtId="0" fontId="0" fillId="3" borderId="0" xfId="0" applyFill="1"/>
    <xf numFmtId="164" fontId="2" fillId="4" borderId="8" xfId="0" applyNumberFormat="1" applyFont="1" applyFill="1" applyBorder="1" applyAlignment="1">
      <alignment vertical="center"/>
    </xf>
    <xf numFmtId="0" fontId="2" fillId="4" borderId="8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vertical="center"/>
    </xf>
    <xf numFmtId="166" fontId="2" fillId="4" borderId="0" xfId="0" applyNumberFormat="1" applyFont="1" applyFill="1"/>
    <xf numFmtId="0" fontId="2" fillId="4" borderId="0" xfId="0" applyFont="1" applyFill="1"/>
    <xf numFmtId="0" fontId="0" fillId="4" borderId="0" xfId="0" applyFill="1"/>
    <xf numFmtId="165" fontId="3" fillId="0" borderId="0" xfId="0" applyNumberFormat="1" applyFont="1" applyAlignment="1">
      <alignment vertical="center"/>
    </xf>
    <xf numFmtId="164" fontId="3" fillId="0" borderId="14" xfId="0" applyNumberFormat="1" applyFont="1" applyBorder="1"/>
    <xf numFmtId="0" fontId="2" fillId="0" borderId="0" xfId="0" applyFont="1" applyAlignment="1">
      <alignment horizontal="left"/>
    </xf>
    <xf numFmtId="166" fontId="2" fillId="0" borderId="0" xfId="0" applyNumberFormat="1" applyFont="1"/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164" fontId="5" fillId="0" borderId="11" xfId="0" applyNumberFormat="1" applyFont="1" applyBorder="1"/>
    <xf numFmtId="164" fontId="5" fillId="0" borderId="2" xfId="0" applyNumberFormat="1" applyFont="1" applyBorder="1"/>
    <xf numFmtId="164" fontId="5" fillId="0" borderId="3" xfId="0" applyNumberFormat="1" applyFont="1" applyBorder="1"/>
    <xf numFmtId="166" fontId="5" fillId="0" borderId="0" xfId="0" applyNumberFormat="1" applyFont="1"/>
    <xf numFmtId="0" fontId="5" fillId="0" borderId="0" xfId="0" applyFont="1"/>
    <xf numFmtId="164" fontId="5" fillId="0" borderId="12" xfId="0" applyNumberFormat="1" applyFont="1" applyBorder="1" applyAlignment="1">
      <alignment vertical="top"/>
    </xf>
    <xf numFmtId="164" fontId="5" fillId="0" borderId="5" xfId="0" applyNumberFormat="1" applyFont="1" applyBorder="1"/>
    <xf numFmtId="164" fontId="5" fillId="0" borderId="6" xfId="0" applyNumberFormat="1" applyFont="1" applyBorder="1"/>
    <xf numFmtId="0" fontId="5" fillId="0" borderId="14" xfId="0" applyFont="1" applyBorder="1"/>
    <xf numFmtId="164" fontId="4" fillId="0" borderId="2" xfId="0" applyNumberFormat="1" applyFont="1" applyBorder="1"/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164" fontId="3" fillId="0" borderId="4" xfId="0" applyNumberFormat="1" applyFont="1" applyBorder="1"/>
    <xf numFmtId="164" fontId="4" fillId="0" borderId="5" xfId="0" applyNumberFormat="1" applyFont="1" applyBorder="1"/>
    <xf numFmtId="0" fontId="4" fillId="0" borderId="5" xfId="0" applyFont="1" applyBorder="1" applyAlignment="1">
      <alignment horizontal="left"/>
    </xf>
    <xf numFmtId="0" fontId="4" fillId="0" borderId="5" xfId="0" applyFont="1" applyBorder="1"/>
    <xf numFmtId="0" fontId="4" fillId="0" borderId="6" xfId="0" applyFont="1" applyBorder="1"/>
    <xf numFmtId="164" fontId="2" fillId="0" borderId="7" xfId="0" applyNumberFormat="1" applyFont="1" applyBorder="1"/>
    <xf numFmtId="164" fontId="5" fillId="0" borderId="12" xfId="0" applyNumberFormat="1" applyFont="1" applyBorder="1"/>
    <xf numFmtId="164" fontId="5" fillId="0" borderId="10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vertical="top"/>
    </xf>
    <xf numFmtId="164" fontId="5" fillId="0" borderId="0" xfId="0" applyNumberFormat="1" applyFont="1"/>
    <xf numFmtId="164" fontId="5" fillId="0" borderId="15" xfId="0" applyNumberFormat="1" applyFont="1" applyBorder="1"/>
    <xf numFmtId="0" fontId="5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65" fontId="5" fillId="0" borderId="0" xfId="0" applyNumberFormat="1" applyFont="1"/>
    <xf numFmtId="0" fontId="2" fillId="0" borderId="7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164" fontId="3" fillId="0" borderId="2" xfId="0" applyNumberFormat="1" applyFont="1" applyBorder="1"/>
    <xf numFmtId="0" fontId="2" fillId="0" borderId="6" xfId="0" applyFont="1" applyBorder="1" applyAlignment="1">
      <alignment horizontal="left"/>
    </xf>
    <xf numFmtId="164" fontId="2" fillId="0" borderId="4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5" fillId="0" borderId="4" xfId="0" applyNumberFormat="1" applyFont="1" applyBorder="1"/>
    <xf numFmtId="165" fontId="2" fillId="0" borderId="0" xfId="0" applyNumberFormat="1" applyFont="1"/>
    <xf numFmtId="167" fontId="2" fillId="0" borderId="0" xfId="0" applyNumberFormat="1" applyFont="1"/>
    <xf numFmtId="164" fontId="3" fillId="0" borderId="4" xfId="0" applyNumberFormat="1" applyFont="1" applyBorder="1" applyAlignment="1">
      <alignment horizontal="left" vertical="center"/>
    </xf>
    <xf numFmtId="164" fontId="3" fillId="0" borderId="5" xfId="0" applyNumberFormat="1" applyFont="1" applyBorder="1" applyAlignment="1">
      <alignment horizontal="left" vertical="center"/>
    </xf>
    <xf numFmtId="164" fontId="5" fillId="0" borderId="8" xfId="0" applyNumberFormat="1" applyFont="1" applyBorder="1" applyAlignment="1">
      <alignment horizontal="left" vertical="center"/>
    </xf>
    <xf numFmtId="165" fontId="2" fillId="4" borderId="0" xfId="0" applyNumberFormat="1" applyFont="1" applyFill="1"/>
    <xf numFmtId="164" fontId="5" fillId="0" borderId="14" xfId="0" applyNumberFormat="1" applyFont="1" applyBorder="1"/>
    <xf numFmtId="164" fontId="3" fillId="0" borderId="14" xfId="0" applyNumberFormat="1" applyFont="1" applyBorder="1" applyAlignment="1">
      <alignment vertical="top"/>
    </xf>
    <xf numFmtId="164" fontId="5" fillId="0" borderId="2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3" fillId="0" borderId="11" xfId="0" applyNumberFormat="1" applyFont="1" applyBorder="1" applyAlignment="1">
      <alignment vertical="center"/>
    </xf>
    <xf numFmtId="164" fontId="2" fillId="4" borderId="0" xfId="0" applyNumberFormat="1" applyFont="1" applyFill="1"/>
    <xf numFmtId="164" fontId="5" fillId="0" borderId="0" xfId="0" applyNumberFormat="1" applyFont="1" applyAlignment="1">
      <alignment vertical="top"/>
    </xf>
    <xf numFmtId="0" fontId="3" fillId="2" borderId="7" xfId="0" applyFont="1" applyFill="1" applyBorder="1" applyAlignment="1">
      <alignment horizontal="left" vertical="center"/>
    </xf>
    <xf numFmtId="0" fontId="2" fillId="2" borderId="0" xfId="0" applyFont="1" applyFill="1"/>
    <xf numFmtId="0" fontId="0" fillId="2" borderId="0" xfId="0" applyFill="1"/>
    <xf numFmtId="164" fontId="3" fillId="3" borderId="7" xfId="0" applyNumberFormat="1" applyFont="1" applyFill="1" applyBorder="1" applyAlignment="1">
      <alignment horizontal="left" vertical="center"/>
    </xf>
    <xf numFmtId="0" fontId="2" fillId="0" borderId="1" xfId="0" applyFont="1" applyBorder="1"/>
    <xf numFmtId="0" fontId="2" fillId="0" borderId="3" xfId="0" applyFont="1" applyBorder="1" applyAlignment="1">
      <alignment horizontal="left"/>
    </xf>
    <xf numFmtId="0" fontId="5" fillId="0" borderId="2" xfId="0" applyFont="1" applyBorder="1"/>
    <xf numFmtId="0" fontId="2" fillId="0" borderId="14" xfId="0" applyFont="1" applyBorder="1"/>
    <xf numFmtId="0" fontId="2" fillId="0" borderId="15" xfId="0" applyFont="1" applyBorder="1" applyAlignment="1">
      <alignment horizontal="left"/>
    </xf>
    <xf numFmtId="0" fontId="2" fillId="0" borderId="15" xfId="0" applyFont="1" applyBorder="1"/>
    <xf numFmtId="164" fontId="2" fillId="5" borderId="0" xfId="0" applyNumberFormat="1" applyFont="1" applyFill="1"/>
    <xf numFmtId="164" fontId="2" fillId="3" borderId="0" xfId="0" applyNumberFormat="1" applyFont="1" applyFill="1"/>
    <xf numFmtId="164" fontId="0" fillId="0" borderId="0" xfId="0" applyNumberFormat="1"/>
    <xf numFmtId="168" fontId="2" fillId="0" borderId="0" xfId="1" applyNumberFormat="1" applyFont="1" applyFill="1" applyAlignment="1">
      <alignment horizontal="left"/>
    </xf>
    <xf numFmtId="168" fontId="2" fillId="0" borderId="0" xfId="0" applyNumberFormat="1" applyFont="1"/>
    <xf numFmtId="164" fontId="2" fillId="6" borderId="0" xfId="0" applyNumberFormat="1" applyFont="1" applyFill="1"/>
    <xf numFmtId="9" fontId="2" fillId="5" borderId="0" xfId="2" applyFont="1" applyFill="1"/>
    <xf numFmtId="9" fontId="2" fillId="6" borderId="0" xfId="2" applyFont="1" applyFill="1"/>
    <xf numFmtId="0" fontId="2" fillId="0" borderId="4" xfId="0" applyFont="1" applyBorder="1"/>
    <xf numFmtId="0" fontId="5" fillId="0" borderId="5" xfId="0" applyFont="1" applyBorder="1" applyAlignment="1">
      <alignment vertical="top"/>
    </xf>
    <xf numFmtId="164" fontId="2" fillId="2" borderId="0" xfId="0" applyNumberFormat="1" applyFont="1" applyFill="1"/>
    <xf numFmtId="164" fontId="3" fillId="0" borderId="10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164" fontId="5" fillId="0" borderId="7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9" fontId="5" fillId="0" borderId="7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164" fontId="5" fillId="0" borderId="3" xfId="0" applyNumberFormat="1" applyFont="1" applyBorder="1" applyAlignment="1">
      <alignment horizontal="left" vertical="center"/>
    </xf>
    <xf numFmtId="164" fontId="5" fillId="0" borderId="14" xfId="0" applyNumberFormat="1" applyFont="1" applyBorder="1" applyAlignment="1">
      <alignment horizontal="left" vertical="center"/>
    </xf>
    <xf numFmtId="164" fontId="5" fillId="0" borderId="15" xfId="0" applyNumberFormat="1" applyFont="1" applyBorder="1" applyAlignment="1">
      <alignment horizontal="left" vertical="center"/>
    </xf>
    <xf numFmtId="164" fontId="5" fillId="0" borderId="4" xfId="0" applyNumberFormat="1" applyFont="1" applyBorder="1" applyAlignment="1">
      <alignment horizontal="left" vertical="center"/>
    </xf>
    <xf numFmtId="164" fontId="5" fillId="0" borderId="6" xfId="0" applyNumberFormat="1" applyFont="1" applyBorder="1" applyAlignment="1">
      <alignment horizontal="left" vertic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left" vertical="center" wrapText="1"/>
    </xf>
    <xf numFmtId="164" fontId="5" fillId="0" borderId="8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top"/>
    </xf>
    <xf numFmtId="164" fontId="3" fillId="0" borderId="2" xfId="0" applyNumberFormat="1" applyFont="1" applyBorder="1" applyAlignment="1">
      <alignment horizontal="left" vertical="top"/>
    </xf>
    <xf numFmtId="164" fontId="3" fillId="0" borderId="3" xfId="0" applyNumberFormat="1" applyFont="1" applyBorder="1" applyAlignment="1">
      <alignment horizontal="left" vertical="top"/>
    </xf>
    <xf numFmtId="164" fontId="5" fillId="0" borderId="11" xfId="0" applyNumberFormat="1" applyFont="1" applyBorder="1" applyAlignment="1">
      <alignment horizontal="center"/>
    </xf>
    <xf numFmtId="164" fontId="5" fillId="0" borderId="12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0" fontId="5" fillId="0" borderId="10" xfId="0" applyFont="1" applyBorder="1" applyAlignment="1">
      <alignment horizontal="left" vertical="center"/>
    </xf>
    <xf numFmtId="164" fontId="5" fillId="0" borderId="10" xfId="0" applyNumberFormat="1" applyFont="1" applyBorder="1" applyAlignment="1">
      <alignment horizontal="left" vertical="center"/>
    </xf>
    <xf numFmtId="164" fontId="5" fillId="0" borderId="11" xfId="0" applyNumberFormat="1" applyFont="1" applyBorder="1" applyAlignment="1">
      <alignment vertical="center"/>
    </xf>
    <xf numFmtId="164" fontId="5" fillId="0" borderId="12" xfId="0" applyNumberFormat="1" applyFont="1" applyBorder="1" applyAlignment="1">
      <alignment vertical="center"/>
    </xf>
    <xf numFmtId="164" fontId="5" fillId="0" borderId="10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164" fontId="5" fillId="0" borderId="11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64" fontId="5" fillId="0" borderId="9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164" fontId="2" fillId="0" borderId="4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/>
    </xf>
    <xf numFmtId="164" fontId="3" fillId="0" borderId="9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6" fillId="3" borderId="16" xfId="0" applyNumberFormat="1" applyFont="1" applyFill="1" applyBorder="1" applyAlignment="1">
      <alignment horizontal="left" vertical="top" wrapText="1"/>
    </xf>
    <xf numFmtId="164" fontId="6" fillId="3" borderId="17" xfId="0" applyNumberFormat="1" applyFont="1" applyFill="1" applyBorder="1" applyAlignment="1">
      <alignment horizontal="left" vertical="top" wrapText="1"/>
    </xf>
    <xf numFmtId="164" fontId="6" fillId="3" borderId="18" xfId="0" applyNumberFormat="1" applyFont="1" applyFill="1" applyBorder="1" applyAlignment="1">
      <alignment horizontal="left" vertical="top" wrapText="1"/>
    </xf>
    <xf numFmtId="164" fontId="6" fillId="0" borderId="16" xfId="0" applyNumberFormat="1" applyFont="1" applyBorder="1" applyAlignment="1">
      <alignment horizontal="left" vertical="top" wrapText="1"/>
    </xf>
    <xf numFmtId="164" fontId="6" fillId="0" borderId="17" xfId="0" applyNumberFormat="1" applyFont="1" applyBorder="1" applyAlignment="1">
      <alignment horizontal="left" vertical="top" wrapText="1"/>
    </xf>
    <xf numFmtId="164" fontId="6" fillId="0" borderId="18" xfId="0" applyNumberFormat="1" applyFont="1" applyBorder="1" applyAlignment="1">
      <alignment horizontal="left" vertical="top" wrapText="1"/>
    </xf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</xdr:colOff>
      <xdr:row>23</xdr:row>
      <xdr:rowOff>17463</xdr:rowOff>
    </xdr:from>
    <xdr:to>
      <xdr:col>16</xdr:col>
      <xdr:colOff>1074656</xdr:colOff>
      <xdr:row>25</xdr:row>
      <xdr:rowOff>136525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B51EAA66-0CEF-4F35-A861-7BEA817E925F}"/>
            </a:ext>
          </a:extLst>
        </xdr:cNvPr>
        <xdr:cNvSpPr/>
      </xdr:nvSpPr>
      <xdr:spPr>
        <a:xfrm>
          <a:off x="13649325" y="10990263"/>
          <a:ext cx="1027031" cy="461962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D"/>
        </a:p>
      </xdr:txBody>
    </xdr:sp>
    <xdr:clientData/>
  </xdr:twoCellAnchor>
  <xdr:twoCellAnchor>
    <xdr:from>
      <xdr:col>16</xdr:col>
      <xdr:colOff>1205706</xdr:colOff>
      <xdr:row>23</xdr:row>
      <xdr:rowOff>23812</xdr:rowOff>
    </xdr:from>
    <xdr:to>
      <xdr:col>17</xdr:col>
      <xdr:colOff>1205706</xdr:colOff>
      <xdr:row>25</xdr:row>
      <xdr:rowOff>100888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38CD64A-8894-4302-8439-533FCB98F25B}"/>
            </a:ext>
          </a:extLst>
        </xdr:cNvPr>
        <xdr:cNvSpPr txBox="1"/>
      </xdr:nvSpPr>
      <xdr:spPr>
        <a:xfrm>
          <a:off x="14807406" y="10996612"/>
          <a:ext cx="1828800" cy="419976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800"/>
            <a:t>Rp</a:t>
          </a:r>
          <a:r>
            <a:rPr lang="id-ID" sz="1800" baseline="0"/>
            <a:t>  </a:t>
          </a:r>
          <a:r>
            <a:rPr lang="id-ID" sz="1800"/>
            <a:t>96.782.400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9F32-3320-4DA4-9EB7-56F170F19F7A}">
  <dimension ref="A1:U197"/>
  <sheetViews>
    <sheetView tabSelected="1" workbookViewId="0">
      <selection activeCell="T191" sqref="T191"/>
    </sheetView>
  </sheetViews>
  <sheetFormatPr defaultRowHeight="14.5" x14ac:dyDescent="0.35"/>
  <cols>
    <col min="16" max="16" width="15.26953125" customWidth="1"/>
    <col min="17" max="17" width="30.81640625" customWidth="1"/>
    <col min="18" max="18" width="15.6328125" customWidth="1"/>
    <col min="19" max="19" width="23" customWidth="1"/>
    <col min="20" max="20" width="33.453125" customWidth="1"/>
    <col min="21" max="21" width="26.26953125" customWidth="1"/>
  </cols>
  <sheetData>
    <row r="1" spans="1:21" x14ac:dyDescent="0.35">
      <c r="A1" s="189" t="s">
        <v>0</v>
      </c>
      <c r="B1" s="262" t="s">
        <v>217</v>
      </c>
      <c r="C1" s="263"/>
      <c r="D1" s="263"/>
      <c r="E1" s="263"/>
      <c r="F1" s="263"/>
      <c r="G1" s="264"/>
      <c r="H1" s="254" t="s">
        <v>2</v>
      </c>
      <c r="I1" s="255"/>
      <c r="J1" s="258" t="s">
        <v>3</v>
      </c>
      <c r="K1" s="259"/>
      <c r="L1" s="258" t="s">
        <v>4</v>
      </c>
      <c r="M1" s="259"/>
      <c r="N1" s="254" t="s">
        <v>5</v>
      </c>
      <c r="O1" s="255"/>
      <c r="P1" s="190" t="s">
        <v>1</v>
      </c>
      <c r="Q1" s="3"/>
      <c r="R1" s="3"/>
      <c r="S1" s="3"/>
      <c r="T1" s="3"/>
      <c r="U1" s="3"/>
    </row>
    <row r="2" spans="1:21" x14ac:dyDescent="0.35">
      <c r="A2" s="189"/>
      <c r="B2" s="260"/>
      <c r="C2" s="265"/>
      <c r="D2" s="265"/>
      <c r="E2" s="265"/>
      <c r="F2" s="265"/>
      <c r="G2" s="261"/>
      <c r="H2" s="256"/>
      <c r="I2" s="257"/>
      <c r="J2" s="260"/>
      <c r="K2" s="261"/>
      <c r="L2" s="260"/>
      <c r="M2" s="261"/>
      <c r="N2" s="256"/>
      <c r="O2" s="257"/>
      <c r="P2" s="191"/>
      <c r="Q2" s="3"/>
      <c r="R2" s="3"/>
      <c r="S2" s="3"/>
      <c r="T2" s="3"/>
      <c r="U2" s="3"/>
    </row>
    <row r="3" spans="1:21" x14ac:dyDescent="0.35">
      <c r="A3" s="5">
        <v>5</v>
      </c>
      <c r="B3" s="6" t="s">
        <v>6</v>
      </c>
      <c r="C3" s="7"/>
      <c r="D3" s="7"/>
      <c r="E3" s="7"/>
      <c r="F3" s="7"/>
      <c r="G3" s="7"/>
      <c r="H3" s="8"/>
      <c r="I3" s="8"/>
      <c r="J3" s="7"/>
      <c r="K3" s="7"/>
      <c r="L3" s="7"/>
      <c r="M3" s="7"/>
      <c r="N3" s="9"/>
      <c r="O3" s="10"/>
      <c r="P3" s="11">
        <f>P4+P174</f>
        <v>161304000</v>
      </c>
      <c r="Q3" s="12"/>
      <c r="R3" s="13"/>
      <c r="S3" s="12"/>
      <c r="T3" s="13"/>
      <c r="U3" s="13"/>
    </row>
    <row r="4" spans="1:21" x14ac:dyDescent="0.35">
      <c r="A4" s="14" t="s">
        <v>7</v>
      </c>
      <c r="B4" s="15" t="s">
        <v>8</v>
      </c>
      <c r="C4" s="16"/>
      <c r="D4" s="16"/>
      <c r="E4" s="16"/>
      <c r="F4" s="16"/>
      <c r="G4" s="16"/>
      <c r="H4" s="17"/>
      <c r="I4" s="17"/>
      <c r="J4" s="16"/>
      <c r="K4" s="16"/>
      <c r="L4" s="16"/>
      <c r="M4" s="16"/>
      <c r="N4" s="18"/>
      <c r="O4" s="19"/>
      <c r="P4" s="20">
        <f>P5+P33</f>
        <v>155502327</v>
      </c>
      <c r="Q4" s="21"/>
      <c r="R4" s="22"/>
      <c r="S4" s="23"/>
      <c r="T4" s="22"/>
      <c r="U4" s="22"/>
    </row>
    <row r="5" spans="1:21" x14ac:dyDescent="0.35">
      <c r="A5" s="24" t="s">
        <v>9</v>
      </c>
      <c r="B5" s="25" t="s">
        <v>10</v>
      </c>
      <c r="C5" s="26"/>
      <c r="D5" s="26"/>
      <c r="E5" s="26"/>
      <c r="F5" s="26"/>
      <c r="G5" s="26"/>
      <c r="H5" s="27"/>
      <c r="I5" s="27"/>
      <c r="J5" s="26"/>
      <c r="K5" s="26"/>
      <c r="L5" s="26"/>
      <c r="M5" s="26"/>
      <c r="N5" s="28"/>
      <c r="O5" s="29"/>
      <c r="P5" s="30">
        <f>P18</f>
        <v>103982400</v>
      </c>
      <c r="Q5" s="31"/>
      <c r="R5" s="32"/>
      <c r="S5" s="31"/>
      <c r="T5" s="32"/>
      <c r="U5" s="32"/>
    </row>
    <row r="6" spans="1:21" x14ac:dyDescent="0.35">
      <c r="A6" s="33" t="s">
        <v>11</v>
      </c>
      <c r="B6" s="6" t="s">
        <v>12</v>
      </c>
      <c r="C6" s="7"/>
      <c r="D6" s="7"/>
      <c r="E6" s="7"/>
      <c r="F6" s="7"/>
      <c r="G6" s="7"/>
      <c r="H6" s="8"/>
      <c r="I6" s="8"/>
      <c r="J6" s="7"/>
      <c r="K6" s="7"/>
      <c r="L6" s="7"/>
      <c r="M6" s="7"/>
      <c r="N6" s="9"/>
      <c r="O6" s="10"/>
      <c r="P6" s="11">
        <v>0</v>
      </c>
      <c r="Q6" s="13"/>
      <c r="R6" s="13"/>
      <c r="S6" s="13"/>
      <c r="T6" s="13"/>
      <c r="U6" s="13"/>
    </row>
    <row r="7" spans="1:21" x14ac:dyDescent="0.35">
      <c r="A7" s="33" t="s">
        <v>13</v>
      </c>
      <c r="B7" s="6" t="s">
        <v>14</v>
      </c>
      <c r="C7" s="7"/>
      <c r="D7" s="7"/>
      <c r="E7" s="7"/>
      <c r="F7" s="7"/>
      <c r="G7" s="7"/>
      <c r="H7" s="8"/>
      <c r="I7" s="8"/>
      <c r="J7" s="7"/>
      <c r="K7" s="7"/>
      <c r="L7" s="7"/>
      <c r="M7" s="7"/>
      <c r="N7" s="9"/>
      <c r="O7" s="10"/>
      <c r="P7" s="11">
        <v>0</v>
      </c>
      <c r="Q7" s="12"/>
      <c r="R7" s="12"/>
      <c r="S7" s="12"/>
      <c r="T7" s="13"/>
      <c r="U7" s="13"/>
    </row>
    <row r="8" spans="1:21" x14ac:dyDescent="0.35">
      <c r="A8" s="34" t="s">
        <v>15</v>
      </c>
      <c r="B8" s="6" t="s">
        <v>16</v>
      </c>
      <c r="C8" s="7"/>
      <c r="D8" s="7"/>
      <c r="E8" s="7"/>
      <c r="F8" s="7"/>
      <c r="G8" s="7"/>
      <c r="H8" s="8"/>
      <c r="I8" s="8"/>
      <c r="J8" s="7"/>
      <c r="K8" s="7"/>
      <c r="L8" s="7"/>
      <c r="M8" s="7"/>
      <c r="N8" s="9"/>
      <c r="O8" s="10"/>
      <c r="P8" s="11">
        <v>0</v>
      </c>
      <c r="Q8" s="13"/>
      <c r="R8" s="12"/>
      <c r="S8" s="13"/>
      <c r="T8" s="13"/>
      <c r="U8" s="13"/>
    </row>
    <row r="9" spans="1:21" x14ac:dyDescent="0.35">
      <c r="A9" s="35"/>
      <c r="B9" s="36" t="s">
        <v>17</v>
      </c>
      <c r="C9" s="37"/>
      <c r="D9" s="37"/>
      <c r="E9" s="37"/>
      <c r="F9" s="37"/>
      <c r="G9" s="37"/>
      <c r="H9" s="38"/>
      <c r="I9" s="38"/>
      <c r="J9" s="37"/>
      <c r="K9" s="37"/>
      <c r="L9" s="37"/>
      <c r="M9" s="37"/>
      <c r="N9" s="39"/>
      <c r="O9" s="39"/>
      <c r="P9" s="190">
        <v>0</v>
      </c>
      <c r="Q9" s="13"/>
      <c r="R9" s="13"/>
      <c r="S9" s="13"/>
      <c r="T9" s="13"/>
      <c r="U9" s="13"/>
    </row>
    <row r="10" spans="1:21" x14ac:dyDescent="0.35">
      <c r="A10" s="40"/>
      <c r="B10" s="41" t="s">
        <v>18</v>
      </c>
      <c r="C10" s="42"/>
      <c r="D10" s="42"/>
      <c r="E10" s="42"/>
      <c r="F10" s="42"/>
      <c r="G10" s="42"/>
      <c r="H10" s="43"/>
      <c r="I10" s="43"/>
      <c r="J10" s="42"/>
      <c r="K10" s="42"/>
      <c r="L10" s="42"/>
      <c r="M10" s="42"/>
      <c r="N10" s="44"/>
      <c r="O10" s="44"/>
      <c r="P10" s="191"/>
      <c r="Q10" s="13"/>
      <c r="R10" s="13"/>
      <c r="S10" s="13"/>
      <c r="T10" s="13"/>
      <c r="U10" s="13"/>
    </row>
    <row r="11" spans="1:21" x14ac:dyDescent="0.35">
      <c r="A11" s="45"/>
      <c r="B11" s="6" t="s">
        <v>19</v>
      </c>
      <c r="C11" s="46"/>
      <c r="D11" s="46"/>
      <c r="E11" s="46"/>
      <c r="F11" s="46"/>
      <c r="G11" s="46"/>
      <c r="H11" s="47"/>
      <c r="I11" s="47"/>
      <c r="J11" s="46"/>
      <c r="K11" s="46"/>
      <c r="L11" s="46"/>
      <c r="M11" s="46"/>
      <c r="N11" s="48"/>
      <c r="O11" s="48"/>
      <c r="P11" s="11">
        <v>0</v>
      </c>
      <c r="Q11" s="1"/>
      <c r="R11" s="1"/>
      <c r="S11" s="1"/>
      <c r="U11" s="1"/>
    </row>
    <row r="12" spans="1:21" x14ac:dyDescent="0.35">
      <c r="A12" s="49"/>
      <c r="B12" s="50" t="s">
        <v>16</v>
      </c>
      <c r="C12" s="51"/>
      <c r="D12" s="51"/>
      <c r="E12" s="51"/>
      <c r="F12" s="51"/>
      <c r="G12" s="52"/>
      <c r="H12" s="192">
        <v>1</v>
      </c>
      <c r="I12" s="193"/>
      <c r="J12" s="50" t="s">
        <v>20</v>
      </c>
      <c r="K12" s="52"/>
      <c r="L12" s="194">
        <v>3253753</v>
      </c>
      <c r="M12" s="195"/>
      <c r="N12" s="196">
        <v>0</v>
      </c>
      <c r="O12" s="197"/>
      <c r="P12" s="49">
        <v>0</v>
      </c>
      <c r="Q12" s="53"/>
      <c r="R12" s="53"/>
      <c r="S12" s="53"/>
      <c r="T12" s="53"/>
      <c r="U12" s="53"/>
    </row>
    <row r="13" spans="1:21" x14ac:dyDescent="0.35">
      <c r="A13" s="34" t="s">
        <v>21</v>
      </c>
      <c r="B13" s="6" t="s">
        <v>22</v>
      </c>
      <c r="C13" s="46"/>
      <c r="D13" s="46"/>
      <c r="E13" s="46"/>
      <c r="F13" s="46"/>
      <c r="G13" s="46"/>
      <c r="H13" s="47"/>
      <c r="I13" s="47"/>
      <c r="J13" s="46"/>
      <c r="K13" s="46"/>
      <c r="L13" s="46"/>
      <c r="M13" s="46"/>
      <c r="N13" s="48"/>
      <c r="O13" s="54"/>
      <c r="P13" s="55">
        <v>0</v>
      </c>
      <c r="Q13" s="1"/>
      <c r="R13" s="1"/>
      <c r="S13" s="1"/>
      <c r="U13" s="1"/>
    </row>
    <row r="14" spans="1:21" x14ac:dyDescent="0.35">
      <c r="A14" s="56"/>
      <c r="B14" s="36" t="s">
        <v>17</v>
      </c>
      <c r="C14" s="57"/>
      <c r="D14" s="57"/>
      <c r="E14" s="57"/>
      <c r="F14" s="57"/>
      <c r="G14" s="57"/>
      <c r="H14" s="58"/>
      <c r="I14" s="58"/>
      <c r="J14" s="57"/>
      <c r="K14" s="57"/>
      <c r="L14" s="57"/>
      <c r="M14" s="57"/>
      <c r="N14" s="59"/>
      <c r="O14" s="60"/>
      <c r="P14" s="190">
        <v>0</v>
      </c>
      <c r="Q14" s="1"/>
      <c r="R14" s="1"/>
      <c r="S14" s="1"/>
      <c r="U14" s="1"/>
    </row>
    <row r="15" spans="1:21" x14ac:dyDescent="0.35">
      <c r="A15" s="61"/>
      <c r="B15" s="41" t="s">
        <v>18</v>
      </c>
      <c r="C15" s="62"/>
      <c r="D15" s="62"/>
      <c r="E15" s="62"/>
      <c r="F15" s="62"/>
      <c r="G15" s="62"/>
      <c r="H15" s="63"/>
      <c r="I15" s="63"/>
      <c r="J15" s="62"/>
      <c r="K15" s="62"/>
      <c r="L15" s="62"/>
      <c r="M15" s="62"/>
      <c r="N15" s="64"/>
      <c r="O15" s="65"/>
      <c r="P15" s="191"/>
      <c r="Q15" s="1"/>
      <c r="R15" s="1"/>
      <c r="S15" s="1"/>
      <c r="U15" s="1"/>
    </row>
    <row r="16" spans="1:21" x14ac:dyDescent="0.35">
      <c r="A16" s="66"/>
      <c r="B16" s="6" t="s">
        <v>19</v>
      </c>
      <c r="C16" s="46"/>
      <c r="D16" s="46"/>
      <c r="E16" s="46"/>
      <c r="F16" s="46"/>
      <c r="G16" s="46"/>
      <c r="H16" s="47"/>
      <c r="I16" s="47"/>
      <c r="J16" s="46"/>
      <c r="K16" s="46"/>
      <c r="L16" s="46"/>
      <c r="M16" s="46"/>
      <c r="N16" s="48"/>
      <c r="O16" s="54"/>
      <c r="P16" s="55">
        <v>0</v>
      </c>
      <c r="Q16" s="1"/>
      <c r="R16" s="1"/>
      <c r="S16" s="1"/>
      <c r="U16" s="1"/>
    </row>
    <row r="17" spans="1:21" x14ac:dyDescent="0.35">
      <c r="A17" s="66"/>
      <c r="B17" s="50" t="s">
        <v>22</v>
      </c>
      <c r="C17" s="46"/>
      <c r="D17" s="46"/>
      <c r="E17" s="46"/>
      <c r="F17" s="46"/>
      <c r="G17" s="67"/>
      <c r="H17" s="192">
        <v>1</v>
      </c>
      <c r="I17" s="193"/>
      <c r="J17" s="50" t="s">
        <v>20</v>
      </c>
      <c r="K17" s="67"/>
      <c r="L17" s="194">
        <v>1869669</v>
      </c>
      <c r="M17" s="195"/>
      <c r="N17" s="196">
        <v>0</v>
      </c>
      <c r="O17" s="197"/>
      <c r="P17" s="49">
        <v>0</v>
      </c>
      <c r="Q17" s="1"/>
      <c r="R17" s="1"/>
      <c r="S17" s="1"/>
      <c r="U17" s="1"/>
    </row>
    <row r="18" spans="1:21" x14ac:dyDescent="0.35">
      <c r="A18" s="68" t="s">
        <v>23</v>
      </c>
      <c r="B18" s="69" t="s">
        <v>24</v>
      </c>
      <c r="C18" s="70"/>
      <c r="D18" s="70"/>
      <c r="E18" s="70"/>
      <c r="F18" s="70"/>
      <c r="G18" s="70"/>
      <c r="H18" s="71"/>
      <c r="I18" s="71"/>
      <c r="J18" s="70"/>
      <c r="K18" s="70"/>
      <c r="L18" s="70"/>
      <c r="M18" s="70"/>
      <c r="N18" s="72"/>
      <c r="O18" s="73"/>
      <c r="P18" s="68">
        <f>P19+P27</f>
        <v>103982400</v>
      </c>
      <c r="Q18" s="74"/>
      <c r="R18" s="75"/>
      <c r="S18" s="74"/>
      <c r="T18" s="75"/>
      <c r="U18" s="75"/>
    </row>
    <row r="19" spans="1:21" x14ac:dyDescent="0.35">
      <c r="A19" s="11" t="s">
        <v>25</v>
      </c>
      <c r="B19" s="6" t="s">
        <v>26</v>
      </c>
      <c r="C19" s="76"/>
      <c r="D19" s="76"/>
      <c r="E19" s="76"/>
      <c r="F19" s="76"/>
      <c r="G19" s="76"/>
      <c r="H19" s="77"/>
      <c r="I19" s="77"/>
      <c r="J19" s="76"/>
      <c r="K19" s="76"/>
      <c r="L19" s="76"/>
      <c r="M19" s="76"/>
      <c r="N19" s="78"/>
      <c r="O19" s="79"/>
      <c r="P19" s="11">
        <f>P20</f>
        <v>96782400</v>
      </c>
      <c r="Q19" s="80"/>
      <c r="R19" s="81"/>
      <c r="S19" s="80"/>
      <c r="T19" s="13"/>
      <c r="U19" s="13"/>
    </row>
    <row r="20" spans="1:21" x14ac:dyDescent="0.35">
      <c r="A20" s="11" t="s">
        <v>27</v>
      </c>
      <c r="B20" s="6" t="s">
        <v>26</v>
      </c>
      <c r="C20" s="7"/>
      <c r="D20" s="7"/>
      <c r="E20" s="7"/>
      <c r="F20" s="7"/>
      <c r="G20" s="7"/>
      <c r="H20" s="8"/>
      <c r="I20" s="8"/>
      <c r="J20" s="7"/>
      <c r="K20" s="7"/>
      <c r="L20" s="7"/>
      <c r="M20" s="7"/>
      <c r="N20" s="9"/>
      <c r="O20" s="10"/>
      <c r="P20" s="11">
        <f>P21</f>
        <v>96782400</v>
      </c>
      <c r="Q20" s="13"/>
      <c r="R20" s="13"/>
      <c r="S20" s="13"/>
      <c r="T20" s="13"/>
      <c r="U20" s="13"/>
    </row>
    <row r="21" spans="1:21" x14ac:dyDescent="0.35">
      <c r="A21" s="198"/>
      <c r="B21" s="36" t="s">
        <v>28</v>
      </c>
      <c r="C21" s="57"/>
      <c r="D21" s="57"/>
      <c r="E21" s="57"/>
      <c r="F21" s="57"/>
      <c r="G21" s="57"/>
      <c r="H21" s="58"/>
      <c r="I21" s="58"/>
      <c r="J21" s="57"/>
      <c r="K21" s="57"/>
      <c r="L21" s="57"/>
      <c r="M21" s="57"/>
      <c r="N21" s="59"/>
      <c r="O21" s="60"/>
      <c r="P21" s="190">
        <f>P23</f>
        <v>96782400</v>
      </c>
      <c r="Q21" s="1"/>
      <c r="R21" s="1"/>
      <c r="S21" s="1"/>
      <c r="U21" s="1"/>
    </row>
    <row r="22" spans="1:21" x14ac:dyDescent="0.35">
      <c r="A22" s="199"/>
      <c r="B22" s="41" t="s">
        <v>29</v>
      </c>
      <c r="C22" s="62"/>
      <c r="D22" s="62"/>
      <c r="E22" s="62"/>
      <c r="F22" s="62"/>
      <c r="G22" s="62"/>
      <c r="H22" s="63"/>
      <c r="I22" s="63"/>
      <c r="J22" s="62"/>
      <c r="K22" s="62"/>
      <c r="L22" s="62"/>
      <c r="M22" s="62"/>
      <c r="N22" s="64"/>
      <c r="O22" s="65"/>
      <c r="P22" s="191"/>
      <c r="Q22" s="1"/>
      <c r="R22" s="1"/>
      <c r="S22" s="1"/>
      <c r="U22" s="1"/>
    </row>
    <row r="23" spans="1:21" x14ac:dyDescent="0.35">
      <c r="A23" s="83"/>
      <c r="B23" s="6" t="s">
        <v>30</v>
      </c>
      <c r="C23" s="7"/>
      <c r="D23" s="7"/>
      <c r="E23" s="7"/>
      <c r="F23" s="7"/>
      <c r="G23" s="7"/>
      <c r="H23" s="8"/>
      <c r="I23" s="8"/>
      <c r="J23" s="7"/>
      <c r="K23" s="7"/>
      <c r="L23" s="7"/>
      <c r="M23" s="7"/>
      <c r="N23" s="9"/>
      <c r="O23" s="10"/>
      <c r="P23" s="11">
        <f>P24</f>
        <v>96782400</v>
      </c>
      <c r="Q23" s="13"/>
      <c r="R23" s="13"/>
      <c r="S23" s="13"/>
      <c r="T23" s="13"/>
      <c r="U23" s="13"/>
    </row>
    <row r="24" spans="1:21" x14ac:dyDescent="0.35">
      <c r="A24" s="56"/>
      <c r="B24" s="84" t="s">
        <v>26</v>
      </c>
      <c r="C24" s="57"/>
      <c r="D24" s="57"/>
      <c r="E24" s="57"/>
      <c r="F24" s="57"/>
      <c r="G24" s="85"/>
      <c r="H24" s="200">
        <v>1</v>
      </c>
      <c r="I24" s="201"/>
      <c r="J24" s="206" t="s">
        <v>20</v>
      </c>
      <c r="K24" s="207"/>
      <c r="L24" s="206">
        <v>96782400</v>
      </c>
      <c r="M24" s="207"/>
      <c r="N24" s="212">
        <v>0</v>
      </c>
      <c r="O24" s="213"/>
      <c r="P24" s="218">
        <f>L24*H24</f>
        <v>96782400</v>
      </c>
      <c r="Q24" s="1"/>
      <c r="R24" s="86"/>
      <c r="S24" s="1"/>
      <c r="U24" s="1"/>
    </row>
    <row r="25" spans="1:21" x14ac:dyDescent="0.35">
      <c r="A25" s="87"/>
      <c r="B25" s="88" t="s">
        <v>31</v>
      </c>
      <c r="C25" s="89"/>
      <c r="D25" s="89"/>
      <c r="E25" s="89"/>
      <c r="F25" s="89"/>
      <c r="G25" s="90"/>
      <c r="H25" s="202"/>
      <c r="I25" s="203"/>
      <c r="J25" s="208"/>
      <c r="K25" s="209"/>
      <c r="L25" s="208"/>
      <c r="M25" s="209"/>
      <c r="N25" s="214"/>
      <c r="O25" s="215"/>
      <c r="P25" s="219"/>
      <c r="Q25" s="1"/>
      <c r="R25" s="1"/>
      <c r="S25" s="1"/>
      <c r="U25" s="1"/>
    </row>
    <row r="26" spans="1:21" x14ac:dyDescent="0.35">
      <c r="A26" s="61"/>
      <c r="B26" s="92" t="s">
        <v>32</v>
      </c>
      <c r="C26" s="62"/>
      <c r="D26" s="62"/>
      <c r="E26" s="62"/>
      <c r="F26" s="62"/>
      <c r="G26" s="93"/>
      <c r="H26" s="204"/>
      <c r="I26" s="205"/>
      <c r="J26" s="210"/>
      <c r="K26" s="211"/>
      <c r="L26" s="210"/>
      <c r="M26" s="211"/>
      <c r="N26" s="216"/>
      <c r="O26" s="217"/>
      <c r="P26" s="220"/>
      <c r="Q26" s="95"/>
      <c r="R26" s="1"/>
      <c r="S26" s="1"/>
      <c r="U26" s="1"/>
    </row>
    <row r="27" spans="1:21" x14ac:dyDescent="0.35">
      <c r="A27" s="11" t="s">
        <v>33</v>
      </c>
      <c r="B27" s="6" t="s">
        <v>34</v>
      </c>
      <c r="C27" s="7"/>
      <c r="D27" s="7"/>
      <c r="E27" s="7"/>
      <c r="F27" s="7"/>
      <c r="G27" s="7"/>
      <c r="H27" s="8"/>
      <c r="I27" s="8"/>
      <c r="J27" s="7"/>
      <c r="K27" s="7"/>
      <c r="L27" s="7"/>
      <c r="M27" s="7"/>
      <c r="N27" s="9"/>
      <c r="O27" s="10"/>
      <c r="P27" s="11">
        <f>P28</f>
        <v>7200000</v>
      </c>
      <c r="Q27" s="13"/>
      <c r="R27" s="13"/>
      <c r="S27" s="13"/>
      <c r="T27" s="13"/>
      <c r="U27" s="13"/>
    </row>
    <row r="28" spans="1:21" x14ac:dyDescent="0.35">
      <c r="A28" s="11" t="s">
        <v>35</v>
      </c>
      <c r="B28" s="6" t="s">
        <v>36</v>
      </c>
      <c r="C28" s="7"/>
      <c r="D28" s="7"/>
      <c r="E28" s="7"/>
      <c r="F28" s="7"/>
      <c r="G28" s="7"/>
      <c r="H28" s="8"/>
      <c r="I28" s="8"/>
      <c r="J28" s="7"/>
      <c r="K28" s="7"/>
      <c r="L28" s="7"/>
      <c r="M28" s="7"/>
      <c r="N28" s="9"/>
      <c r="O28" s="10"/>
      <c r="P28" s="11">
        <f>P29</f>
        <v>7200000</v>
      </c>
      <c r="Q28" s="13"/>
      <c r="R28" s="13"/>
      <c r="S28" s="13"/>
      <c r="T28" s="13"/>
      <c r="U28" s="13"/>
    </row>
    <row r="29" spans="1:21" x14ac:dyDescent="0.35">
      <c r="A29" s="96"/>
      <c r="B29" s="223" t="s">
        <v>37</v>
      </c>
      <c r="C29" s="224"/>
      <c r="D29" s="224"/>
      <c r="E29" s="224"/>
      <c r="F29" s="224"/>
      <c r="G29" s="224"/>
      <c r="H29" s="224"/>
      <c r="I29" s="224"/>
      <c r="J29" s="224"/>
      <c r="K29" s="224"/>
      <c r="L29" s="224"/>
      <c r="M29" s="224"/>
      <c r="N29" s="224"/>
      <c r="O29" s="225"/>
      <c r="P29" s="190">
        <f>P31</f>
        <v>7200000</v>
      </c>
      <c r="Q29" s="97"/>
      <c r="R29" s="97"/>
      <c r="S29" s="97"/>
      <c r="T29" s="97"/>
      <c r="U29" s="97"/>
    </row>
    <row r="30" spans="1:21" x14ac:dyDescent="0.35">
      <c r="A30" s="98"/>
      <c r="B30" s="99" t="s">
        <v>38</v>
      </c>
      <c r="C30" s="99"/>
      <c r="D30" s="99"/>
      <c r="E30" s="99"/>
      <c r="F30" s="99"/>
      <c r="G30" s="99"/>
      <c r="H30" s="100"/>
      <c r="I30" s="100"/>
      <c r="J30" s="99"/>
      <c r="K30" s="99"/>
      <c r="L30" s="99"/>
      <c r="M30" s="99"/>
      <c r="N30" s="100"/>
      <c r="O30" s="100"/>
      <c r="P30" s="191"/>
      <c r="Q30" s="97"/>
      <c r="R30" s="97"/>
      <c r="S30" s="97"/>
      <c r="T30" s="97"/>
      <c r="U30" s="97"/>
    </row>
    <row r="31" spans="1:21" x14ac:dyDescent="0.35">
      <c r="A31" s="101"/>
      <c r="B31" s="102" t="s">
        <v>39</v>
      </c>
      <c r="C31" s="103"/>
      <c r="D31" s="103"/>
      <c r="E31" s="103"/>
      <c r="F31" s="103"/>
      <c r="G31" s="103"/>
      <c r="H31" s="104"/>
      <c r="I31" s="104"/>
      <c r="J31" s="103"/>
      <c r="K31" s="103"/>
      <c r="L31" s="103"/>
      <c r="M31" s="103"/>
      <c r="N31" s="105"/>
      <c r="O31" s="105"/>
      <c r="P31" s="11">
        <f>P32</f>
        <v>7200000</v>
      </c>
      <c r="Q31" s="97"/>
      <c r="R31" s="97"/>
      <c r="S31" s="97"/>
      <c r="T31" s="97"/>
      <c r="U31" s="97"/>
    </row>
    <row r="32" spans="1:21" ht="14.5" customHeight="1" x14ac:dyDescent="0.35">
      <c r="A32" s="66"/>
      <c r="B32" s="221" t="s">
        <v>40</v>
      </c>
      <c r="C32" s="222"/>
      <c r="D32" s="222"/>
      <c r="E32" s="222"/>
      <c r="F32" s="222"/>
      <c r="G32" s="222"/>
      <c r="H32" s="192">
        <v>12</v>
      </c>
      <c r="I32" s="193"/>
      <c r="J32" s="50" t="s">
        <v>41</v>
      </c>
      <c r="K32" s="52"/>
      <c r="L32" s="194">
        <v>600000</v>
      </c>
      <c r="M32" s="195"/>
      <c r="N32" s="196">
        <v>0</v>
      </c>
      <c r="O32" s="197"/>
      <c r="P32" s="49">
        <v>7200000</v>
      </c>
      <c r="Q32" s="1"/>
      <c r="R32" s="1"/>
      <c r="S32" s="1"/>
      <c r="U32" s="1"/>
    </row>
    <row r="33" spans="1:21" x14ac:dyDescent="0.35">
      <c r="A33" s="25" t="s">
        <v>42</v>
      </c>
      <c r="B33" s="25" t="s">
        <v>43</v>
      </c>
      <c r="C33" s="26"/>
      <c r="D33" s="26"/>
      <c r="E33" s="26"/>
      <c r="F33" s="26"/>
      <c r="G33" s="26"/>
      <c r="H33" s="27"/>
      <c r="I33" s="27"/>
      <c r="J33" s="26"/>
      <c r="K33" s="26"/>
      <c r="L33" s="26"/>
      <c r="M33" s="26"/>
      <c r="N33" s="28"/>
      <c r="O33" s="28"/>
      <c r="P33" s="30">
        <f>P34+P145+P160</f>
        <v>51519927</v>
      </c>
      <c r="Q33" s="106"/>
      <c r="R33" s="107"/>
      <c r="S33" s="106"/>
      <c r="T33" s="108"/>
      <c r="U33" s="107"/>
    </row>
    <row r="34" spans="1:21" x14ac:dyDescent="0.35">
      <c r="A34" s="69" t="s">
        <v>44</v>
      </c>
      <c r="B34" s="69" t="s">
        <v>45</v>
      </c>
      <c r="C34" s="109"/>
      <c r="D34" s="109"/>
      <c r="E34" s="109"/>
      <c r="F34" s="109"/>
      <c r="G34" s="109"/>
      <c r="H34" s="110"/>
      <c r="I34" s="110"/>
      <c r="J34" s="109"/>
      <c r="K34" s="109"/>
      <c r="L34" s="109"/>
      <c r="M34" s="109"/>
      <c r="N34" s="111"/>
      <c r="O34" s="111"/>
      <c r="P34" s="68">
        <f>P35</f>
        <v>36639927</v>
      </c>
      <c r="Q34" s="112"/>
      <c r="R34" s="113"/>
      <c r="S34" s="112"/>
      <c r="T34" s="114"/>
      <c r="U34" s="113"/>
    </row>
    <row r="35" spans="1:21" x14ac:dyDescent="0.35">
      <c r="A35" s="6" t="s">
        <v>46</v>
      </c>
      <c r="B35" s="6" t="s">
        <v>47</v>
      </c>
      <c r="C35" s="7"/>
      <c r="D35" s="7"/>
      <c r="E35" s="7"/>
      <c r="F35" s="7"/>
      <c r="G35" s="7"/>
      <c r="H35" s="8"/>
      <c r="I35" s="8"/>
      <c r="J35" s="7"/>
      <c r="K35" s="7"/>
      <c r="L35" s="7"/>
      <c r="M35" s="7"/>
      <c r="N35" s="9"/>
      <c r="O35" s="9"/>
      <c r="P35" s="11">
        <f>P36+P42+P48+P84+P100+P108+P184+P138</f>
        <v>36639927</v>
      </c>
      <c r="Q35" s="1"/>
      <c r="R35" s="1"/>
      <c r="S35" s="1"/>
      <c r="U35" s="1"/>
    </row>
    <row r="36" spans="1:21" x14ac:dyDescent="0.35">
      <c r="A36" s="6" t="s">
        <v>48</v>
      </c>
      <c r="B36" s="6" t="s">
        <v>49</v>
      </c>
      <c r="C36" s="7"/>
      <c r="D36" s="7"/>
      <c r="E36" s="7"/>
      <c r="F36" s="7"/>
      <c r="G36" s="7"/>
      <c r="H36" s="8"/>
      <c r="I36" s="8"/>
      <c r="J36" s="7"/>
      <c r="K36" s="7"/>
      <c r="L36" s="7"/>
      <c r="M36" s="7"/>
      <c r="N36" s="9"/>
      <c r="O36" s="9"/>
      <c r="P36" s="11">
        <v>623700</v>
      </c>
      <c r="Q36" s="115">
        <f>P36</f>
        <v>623700</v>
      </c>
      <c r="R36" s="1"/>
      <c r="S36" s="115"/>
      <c r="U36" s="1"/>
    </row>
    <row r="37" spans="1:21" x14ac:dyDescent="0.35">
      <c r="A37" s="87"/>
      <c r="B37" s="116" t="s">
        <v>50</v>
      </c>
      <c r="C37" s="89"/>
      <c r="D37" s="89"/>
      <c r="E37" s="89"/>
      <c r="F37" s="89"/>
      <c r="G37" s="89"/>
      <c r="H37" s="117"/>
      <c r="I37" s="117"/>
      <c r="J37" s="89"/>
      <c r="K37" s="89"/>
      <c r="L37" s="89"/>
      <c r="M37" s="89"/>
      <c r="N37" s="1"/>
      <c r="O37" s="1"/>
      <c r="P37" s="190">
        <f>P39</f>
        <v>623700</v>
      </c>
      <c r="Q37" s="118"/>
      <c r="R37" s="1"/>
      <c r="S37" s="118"/>
      <c r="U37" s="1"/>
    </row>
    <row r="38" spans="1:21" x14ac:dyDescent="0.35">
      <c r="A38" s="61"/>
      <c r="B38" s="41" t="s">
        <v>18</v>
      </c>
      <c r="C38" s="62"/>
      <c r="D38" s="62"/>
      <c r="E38" s="62"/>
      <c r="F38" s="62"/>
      <c r="G38" s="62"/>
      <c r="H38" s="63"/>
      <c r="I38" s="63"/>
      <c r="J38" s="62"/>
      <c r="K38" s="62"/>
      <c r="L38" s="62"/>
      <c r="M38" s="62"/>
      <c r="N38" s="64"/>
      <c r="O38" s="64"/>
      <c r="P38" s="191"/>
      <c r="Q38" s="1"/>
      <c r="R38" s="1"/>
      <c r="S38" s="1"/>
      <c r="U38" s="1"/>
    </row>
    <row r="39" spans="1:21" x14ac:dyDescent="0.35">
      <c r="A39" s="49"/>
      <c r="B39" s="76" t="s">
        <v>51</v>
      </c>
      <c r="C39" s="51"/>
      <c r="D39" s="51"/>
      <c r="E39" s="51"/>
      <c r="F39" s="51"/>
      <c r="G39" s="51"/>
      <c r="H39" s="119"/>
      <c r="I39" s="119"/>
      <c r="J39" s="51"/>
      <c r="K39" s="51"/>
      <c r="L39" s="51"/>
      <c r="M39" s="51"/>
      <c r="N39" s="120"/>
      <c r="O39" s="120"/>
      <c r="P39" s="11">
        <f>P40</f>
        <v>623700</v>
      </c>
      <c r="Q39" s="53"/>
      <c r="R39" s="53"/>
      <c r="S39" s="53"/>
      <c r="T39" s="53"/>
      <c r="U39" s="53"/>
    </row>
    <row r="40" spans="1:21" x14ac:dyDescent="0.35">
      <c r="A40" s="226"/>
      <c r="B40" s="121" t="s">
        <v>52</v>
      </c>
      <c r="C40" s="122"/>
      <c r="D40" s="122"/>
      <c r="E40" s="122"/>
      <c r="F40" s="122"/>
      <c r="G40" s="123"/>
      <c r="H40" s="200">
        <v>3</v>
      </c>
      <c r="I40" s="201"/>
      <c r="J40" s="206" t="s">
        <v>53</v>
      </c>
      <c r="K40" s="207"/>
      <c r="L40" s="228">
        <v>207900</v>
      </c>
      <c r="M40" s="229"/>
      <c r="N40" s="212">
        <v>0</v>
      </c>
      <c r="O40" s="213"/>
      <c r="P40" s="218">
        <v>623700</v>
      </c>
      <c r="Q40" s="124"/>
      <c r="R40" s="125"/>
      <c r="S40" s="124"/>
      <c r="T40" s="125"/>
      <c r="U40" s="125"/>
    </row>
    <row r="41" spans="1:21" x14ac:dyDescent="0.35">
      <c r="A41" s="227"/>
      <c r="B41" s="126" t="s">
        <v>54</v>
      </c>
      <c r="C41" s="127"/>
      <c r="D41" s="127"/>
      <c r="E41" s="127"/>
      <c r="F41" s="127"/>
      <c r="G41" s="128"/>
      <c r="H41" s="204"/>
      <c r="I41" s="205"/>
      <c r="J41" s="210"/>
      <c r="K41" s="211"/>
      <c r="L41" s="230"/>
      <c r="M41" s="231"/>
      <c r="N41" s="216"/>
      <c r="O41" s="217"/>
      <c r="P41" s="220"/>
      <c r="Q41" s="129"/>
      <c r="R41" s="125"/>
      <c r="S41" s="125"/>
      <c r="T41" s="125"/>
      <c r="U41" s="125"/>
    </row>
    <row r="42" spans="1:21" x14ac:dyDescent="0.35">
      <c r="A42" s="6" t="s">
        <v>55</v>
      </c>
      <c r="B42" s="6" t="s">
        <v>56</v>
      </c>
      <c r="C42" s="7"/>
      <c r="D42" s="7"/>
      <c r="E42" s="7"/>
      <c r="F42" s="7"/>
      <c r="G42" s="7"/>
      <c r="H42" s="8"/>
      <c r="I42" s="8"/>
      <c r="J42" s="7"/>
      <c r="K42" s="7"/>
      <c r="L42" s="7"/>
      <c r="M42" s="7"/>
      <c r="N42" s="9"/>
      <c r="O42" s="9"/>
      <c r="P42" s="11">
        <f>P43</f>
        <v>3500000</v>
      </c>
      <c r="Q42" s="115">
        <f>P42</f>
        <v>3500000</v>
      </c>
      <c r="R42" s="1"/>
      <c r="S42" s="115"/>
      <c r="U42" s="1"/>
    </row>
    <row r="43" spans="1:21" x14ac:dyDescent="0.35">
      <c r="A43" s="87"/>
      <c r="B43" s="116" t="s">
        <v>57</v>
      </c>
      <c r="C43" s="89"/>
      <c r="D43" s="89"/>
      <c r="E43" s="89"/>
      <c r="F43" s="89"/>
      <c r="G43" s="89"/>
      <c r="H43" s="117"/>
      <c r="I43" s="117"/>
      <c r="J43" s="89"/>
      <c r="K43" s="89"/>
      <c r="L43" s="89"/>
      <c r="M43" s="89"/>
      <c r="N43" s="1"/>
      <c r="O43" s="1"/>
      <c r="P43" s="190">
        <f>P45</f>
        <v>3500000</v>
      </c>
      <c r="Q43" s="118"/>
      <c r="R43" s="1"/>
      <c r="S43" s="118"/>
      <c r="U43" s="1"/>
    </row>
    <row r="44" spans="1:21" x14ac:dyDescent="0.35">
      <c r="A44" s="61"/>
      <c r="B44" s="41" t="s">
        <v>18</v>
      </c>
      <c r="C44" s="62"/>
      <c r="D44" s="62"/>
      <c r="E44" s="62"/>
      <c r="F44" s="62"/>
      <c r="G44" s="62"/>
      <c r="H44" s="63"/>
      <c r="I44" s="63"/>
      <c r="J44" s="62"/>
      <c r="K44" s="62"/>
      <c r="L44" s="62"/>
      <c r="M44" s="62"/>
      <c r="N44" s="64"/>
      <c r="O44" s="64"/>
      <c r="P44" s="191"/>
      <c r="Q44" s="1"/>
      <c r="R44" s="1"/>
      <c r="S44" s="1"/>
      <c r="U44" s="1"/>
    </row>
    <row r="45" spans="1:21" x14ac:dyDescent="0.35">
      <c r="A45" s="49"/>
      <c r="B45" s="76" t="s">
        <v>58</v>
      </c>
      <c r="C45" s="51"/>
      <c r="D45" s="51"/>
      <c r="E45" s="51"/>
      <c r="F45" s="51"/>
      <c r="G45" s="51"/>
      <c r="H45" s="119"/>
      <c r="I45" s="119"/>
      <c r="J45" s="51"/>
      <c r="K45" s="51"/>
      <c r="L45" s="51"/>
      <c r="M45" s="51"/>
      <c r="N45" s="120"/>
      <c r="O45" s="120"/>
      <c r="P45" s="11">
        <f>P46</f>
        <v>3500000</v>
      </c>
      <c r="Q45" s="53"/>
      <c r="R45" s="53"/>
      <c r="S45" s="53"/>
      <c r="T45" s="53"/>
      <c r="U45" s="53"/>
    </row>
    <row r="46" spans="1:21" x14ac:dyDescent="0.35">
      <c r="A46" s="226"/>
      <c r="B46" s="121" t="s">
        <v>59</v>
      </c>
      <c r="C46" s="122"/>
      <c r="D46" s="122"/>
      <c r="E46" s="122"/>
      <c r="F46" s="122"/>
      <c r="G46" s="123"/>
      <c r="H46" s="200">
        <v>35</v>
      </c>
      <c r="I46" s="201"/>
      <c r="J46" s="206" t="s">
        <v>60</v>
      </c>
      <c r="K46" s="207"/>
      <c r="L46" s="228">
        <v>100000</v>
      </c>
      <c r="M46" s="229"/>
      <c r="N46" s="212">
        <v>0</v>
      </c>
      <c r="O46" s="213"/>
      <c r="P46" s="218">
        <f>L46*H46</f>
        <v>3500000</v>
      </c>
      <c r="Q46" s="124"/>
      <c r="R46" s="125"/>
      <c r="S46" s="124"/>
      <c r="T46" s="125"/>
      <c r="U46" s="125"/>
    </row>
    <row r="47" spans="1:21" x14ac:dyDescent="0.35">
      <c r="A47" s="227"/>
      <c r="B47" s="126" t="s">
        <v>61</v>
      </c>
      <c r="C47" s="127"/>
      <c r="D47" s="127"/>
      <c r="E47" s="127"/>
      <c r="F47" s="127"/>
      <c r="G47" s="128"/>
      <c r="H47" s="204"/>
      <c r="I47" s="205"/>
      <c r="J47" s="210"/>
      <c r="K47" s="211"/>
      <c r="L47" s="230"/>
      <c r="M47" s="231"/>
      <c r="N47" s="216"/>
      <c r="O47" s="217"/>
      <c r="P47" s="220"/>
      <c r="Q47" s="125"/>
      <c r="R47" s="125"/>
      <c r="S47" s="125"/>
      <c r="T47" s="125"/>
      <c r="U47" s="125"/>
    </row>
    <row r="48" spans="1:21" x14ac:dyDescent="0.35">
      <c r="A48" s="11" t="s">
        <v>62</v>
      </c>
      <c r="B48" s="6" t="s">
        <v>63</v>
      </c>
      <c r="C48" s="76"/>
      <c r="D48" s="76"/>
      <c r="E48" s="76"/>
      <c r="F48" s="76"/>
      <c r="G48" s="76"/>
      <c r="H48" s="77"/>
      <c r="I48" s="77"/>
      <c r="J48" s="76"/>
      <c r="K48" s="76"/>
      <c r="L48" s="76"/>
      <c r="M48" s="76"/>
      <c r="N48" s="78"/>
      <c r="O48" s="79"/>
      <c r="P48" s="11">
        <f>P49</f>
        <v>8265200</v>
      </c>
      <c r="Q48" s="115">
        <f>P48</f>
        <v>8265200</v>
      </c>
      <c r="R48" s="3"/>
      <c r="S48" s="115"/>
      <c r="T48" s="3"/>
      <c r="U48" s="3"/>
    </row>
    <row r="49" spans="1:21" x14ac:dyDescent="0.35">
      <c r="A49" s="96"/>
      <c r="B49" s="36" t="s">
        <v>64</v>
      </c>
      <c r="C49" s="130"/>
      <c r="D49" s="130"/>
      <c r="E49" s="130"/>
      <c r="F49" s="130"/>
      <c r="G49" s="130"/>
      <c r="H49" s="131"/>
      <c r="I49" s="131"/>
      <c r="J49" s="130"/>
      <c r="K49" s="130"/>
      <c r="L49" s="130"/>
      <c r="M49" s="130"/>
      <c r="N49" s="132"/>
      <c r="O49" s="133"/>
      <c r="P49" s="190">
        <f>P51</f>
        <v>8265200</v>
      </c>
      <c r="Q49" s="97"/>
      <c r="R49" s="97"/>
      <c r="S49" s="97"/>
      <c r="T49" s="97"/>
      <c r="U49" s="97"/>
    </row>
    <row r="50" spans="1:21" x14ac:dyDescent="0.35">
      <c r="A50" s="98"/>
      <c r="B50" s="134" t="s">
        <v>18</v>
      </c>
      <c r="C50" s="135"/>
      <c r="D50" s="135"/>
      <c r="E50" s="135"/>
      <c r="F50" s="135"/>
      <c r="G50" s="135"/>
      <c r="H50" s="136"/>
      <c r="I50" s="136"/>
      <c r="J50" s="135"/>
      <c r="K50" s="135"/>
      <c r="L50" s="135"/>
      <c r="M50" s="135"/>
      <c r="N50" s="137"/>
      <c r="O50" s="138"/>
      <c r="P50" s="191"/>
      <c r="Q50" s="97"/>
      <c r="R50" s="97"/>
      <c r="S50" s="97"/>
      <c r="T50" s="97"/>
      <c r="U50" s="97"/>
    </row>
    <row r="51" spans="1:21" x14ac:dyDescent="0.35">
      <c r="A51" s="139"/>
      <c r="B51" s="102" t="s">
        <v>65</v>
      </c>
      <c r="C51" s="46"/>
      <c r="D51" s="46"/>
      <c r="E51" s="46"/>
      <c r="F51" s="46"/>
      <c r="G51" s="46"/>
      <c r="H51" s="47"/>
      <c r="I51" s="47"/>
      <c r="J51" s="46"/>
      <c r="K51" s="46"/>
      <c r="L51" s="46"/>
      <c r="M51" s="46"/>
      <c r="N51" s="48"/>
      <c r="O51" s="48"/>
      <c r="P51" s="11">
        <f>SUM(P52:P83)</f>
        <v>8265200</v>
      </c>
      <c r="Q51" s="1"/>
      <c r="R51" s="1"/>
      <c r="S51" s="1"/>
      <c r="U51" s="1"/>
    </row>
    <row r="52" spans="1:21" x14ac:dyDescent="0.35">
      <c r="A52" s="121"/>
      <c r="B52" s="84" t="s">
        <v>66</v>
      </c>
      <c r="C52" s="122"/>
      <c r="D52" s="122"/>
      <c r="E52" s="122"/>
      <c r="F52" s="122"/>
      <c r="G52" s="123"/>
      <c r="H52" s="200">
        <v>4</v>
      </c>
      <c r="I52" s="201"/>
      <c r="J52" s="206" t="s">
        <v>67</v>
      </c>
      <c r="K52" s="207"/>
      <c r="L52" s="206">
        <v>11000</v>
      </c>
      <c r="M52" s="207"/>
      <c r="N52" s="212">
        <v>0</v>
      </c>
      <c r="O52" s="213"/>
      <c r="P52" s="235">
        <f>H52*L52</f>
        <v>44000</v>
      </c>
      <c r="Q52" s="125"/>
      <c r="R52" s="125"/>
      <c r="S52" s="125"/>
      <c r="T52" s="125"/>
      <c r="U52" s="125"/>
    </row>
    <row r="53" spans="1:21" x14ac:dyDescent="0.35">
      <c r="A53" s="140"/>
      <c r="B53" s="92" t="s">
        <v>68</v>
      </c>
      <c r="C53" s="127"/>
      <c r="D53" s="127"/>
      <c r="E53" s="127"/>
      <c r="F53" s="127"/>
      <c r="G53" s="128"/>
      <c r="H53" s="204"/>
      <c r="I53" s="205"/>
      <c r="J53" s="210"/>
      <c r="K53" s="211"/>
      <c r="L53" s="210"/>
      <c r="M53" s="211"/>
      <c r="N53" s="216"/>
      <c r="O53" s="217"/>
      <c r="P53" s="236"/>
      <c r="Q53" s="125"/>
      <c r="R53" s="125"/>
      <c r="S53" s="125"/>
      <c r="T53" s="125"/>
      <c r="U53" s="125"/>
    </row>
    <row r="54" spans="1:21" x14ac:dyDescent="0.35">
      <c r="A54" s="121"/>
      <c r="B54" s="84" t="s">
        <v>69</v>
      </c>
      <c r="C54" s="122"/>
      <c r="D54" s="122"/>
      <c r="E54" s="122"/>
      <c r="F54" s="122"/>
      <c r="G54" s="123"/>
      <c r="H54" s="200">
        <v>6</v>
      </c>
      <c r="I54" s="201"/>
      <c r="J54" s="206" t="s">
        <v>70</v>
      </c>
      <c r="K54" s="123"/>
      <c r="L54" s="206">
        <v>8100</v>
      </c>
      <c r="M54" s="207"/>
      <c r="N54" s="212">
        <v>0</v>
      </c>
      <c r="O54" s="213"/>
      <c r="P54" s="218">
        <f>L54*H54</f>
        <v>48600</v>
      </c>
      <c r="Q54" s="125"/>
      <c r="R54" s="125"/>
      <c r="S54" s="125"/>
      <c r="T54" s="125"/>
      <c r="U54" s="125"/>
    </row>
    <row r="55" spans="1:21" x14ac:dyDescent="0.35">
      <c r="A55" s="140"/>
      <c r="B55" s="92" t="s">
        <v>72</v>
      </c>
      <c r="C55" s="127"/>
      <c r="D55" s="127"/>
      <c r="E55" s="127"/>
      <c r="F55" s="127"/>
      <c r="G55" s="128"/>
      <c r="H55" s="204"/>
      <c r="I55" s="205"/>
      <c r="J55" s="210"/>
      <c r="K55" s="128"/>
      <c r="L55" s="210"/>
      <c r="M55" s="211"/>
      <c r="N55" s="216"/>
      <c r="O55" s="217"/>
      <c r="P55" s="220"/>
      <c r="Q55" s="125"/>
      <c r="R55" s="125"/>
      <c r="S55" s="125"/>
      <c r="T55" s="125"/>
      <c r="U55" s="125"/>
    </row>
    <row r="56" spans="1:21" x14ac:dyDescent="0.35">
      <c r="A56" s="232"/>
      <c r="B56" s="84" t="s">
        <v>73</v>
      </c>
      <c r="C56" s="122"/>
      <c r="D56" s="122"/>
      <c r="E56" s="122"/>
      <c r="F56" s="122"/>
      <c r="G56" s="123"/>
      <c r="H56" s="233">
        <v>4</v>
      </c>
      <c r="I56" s="233"/>
      <c r="J56" s="234" t="s">
        <v>74</v>
      </c>
      <c r="K56" s="234"/>
      <c r="L56" s="234">
        <v>23700</v>
      </c>
      <c r="M56" s="234"/>
      <c r="N56" s="212">
        <v>0</v>
      </c>
      <c r="O56" s="213"/>
      <c r="P56" s="237">
        <f>L56*H56</f>
        <v>94800</v>
      </c>
      <c r="Q56" s="125"/>
      <c r="R56" s="125"/>
      <c r="S56" s="125"/>
      <c r="T56" s="125"/>
      <c r="U56" s="125"/>
    </row>
    <row r="57" spans="1:21" x14ac:dyDescent="0.35">
      <c r="A57" s="232"/>
      <c r="B57" s="92" t="s">
        <v>75</v>
      </c>
      <c r="C57" s="127"/>
      <c r="D57" s="127"/>
      <c r="E57" s="127"/>
      <c r="F57" s="127"/>
      <c r="G57" s="128"/>
      <c r="H57" s="233"/>
      <c r="I57" s="233"/>
      <c r="J57" s="234"/>
      <c r="K57" s="234"/>
      <c r="L57" s="234"/>
      <c r="M57" s="234"/>
      <c r="N57" s="216"/>
      <c r="O57" s="217"/>
      <c r="P57" s="237"/>
      <c r="Q57" s="125"/>
      <c r="R57" s="125"/>
      <c r="S57" s="125"/>
      <c r="T57" s="125"/>
      <c r="U57" s="125"/>
    </row>
    <row r="58" spans="1:21" x14ac:dyDescent="0.35">
      <c r="A58" s="232"/>
      <c r="B58" s="84" t="s">
        <v>76</v>
      </c>
      <c r="C58" s="122"/>
      <c r="D58" s="122"/>
      <c r="E58" s="122"/>
      <c r="F58" s="122"/>
      <c r="G58" s="123"/>
      <c r="H58" s="233">
        <v>4</v>
      </c>
      <c r="I58" s="233"/>
      <c r="J58" s="234" t="s">
        <v>67</v>
      </c>
      <c r="K58" s="234"/>
      <c r="L58" s="234">
        <v>24900</v>
      </c>
      <c r="M58" s="234"/>
      <c r="N58" s="212">
        <v>0</v>
      </c>
      <c r="O58" s="213"/>
      <c r="P58" s="237">
        <f>L58*H58</f>
        <v>99600</v>
      </c>
      <c r="Q58" s="125"/>
      <c r="R58" s="125"/>
      <c r="S58" s="125"/>
      <c r="T58" s="125"/>
      <c r="U58" s="125"/>
    </row>
    <row r="59" spans="1:21" x14ac:dyDescent="0.35">
      <c r="A59" s="232"/>
      <c r="B59" s="92" t="s">
        <v>77</v>
      </c>
      <c r="C59" s="127"/>
      <c r="D59" s="127"/>
      <c r="E59" s="127"/>
      <c r="F59" s="127"/>
      <c r="G59" s="128"/>
      <c r="H59" s="233"/>
      <c r="I59" s="233"/>
      <c r="J59" s="234"/>
      <c r="K59" s="234"/>
      <c r="L59" s="234"/>
      <c r="M59" s="234"/>
      <c r="N59" s="216"/>
      <c r="O59" s="217"/>
      <c r="P59" s="237"/>
      <c r="Q59" s="125"/>
      <c r="R59" s="125"/>
      <c r="S59" s="125"/>
      <c r="T59" s="125"/>
      <c r="U59" s="125"/>
    </row>
    <row r="60" spans="1:21" x14ac:dyDescent="0.35">
      <c r="A60" s="121"/>
      <c r="B60" s="84" t="s">
        <v>78</v>
      </c>
      <c r="C60" s="122"/>
      <c r="D60" s="122"/>
      <c r="E60" s="122"/>
      <c r="F60" s="122"/>
      <c r="G60" s="123"/>
      <c r="H60" s="233">
        <v>8</v>
      </c>
      <c r="I60" s="233"/>
      <c r="J60" s="234" t="s">
        <v>74</v>
      </c>
      <c r="K60" s="234"/>
      <c r="L60" s="234">
        <v>23700</v>
      </c>
      <c r="M60" s="234"/>
      <c r="N60" s="212">
        <v>0</v>
      </c>
      <c r="O60" s="213"/>
      <c r="P60" s="237">
        <v>189600</v>
      </c>
      <c r="Q60" s="125"/>
      <c r="R60" s="125"/>
      <c r="S60" s="125"/>
      <c r="T60" s="125"/>
      <c r="U60" s="125"/>
    </row>
    <row r="61" spans="1:21" x14ac:dyDescent="0.35">
      <c r="A61" s="140"/>
      <c r="B61" s="92" t="s">
        <v>75</v>
      </c>
      <c r="C61" s="127"/>
      <c r="D61" s="127"/>
      <c r="E61" s="127"/>
      <c r="F61" s="127"/>
      <c r="G61" s="128"/>
      <c r="H61" s="233"/>
      <c r="I61" s="233"/>
      <c r="J61" s="234"/>
      <c r="K61" s="234"/>
      <c r="L61" s="234"/>
      <c r="M61" s="234"/>
      <c r="N61" s="216"/>
      <c r="O61" s="217"/>
      <c r="P61" s="237"/>
      <c r="Q61" s="125"/>
      <c r="R61" s="125"/>
      <c r="S61" s="125"/>
      <c r="T61" s="125"/>
      <c r="U61" s="125"/>
    </row>
    <row r="62" spans="1:21" x14ac:dyDescent="0.35">
      <c r="A62" s="232"/>
      <c r="B62" s="84" t="s">
        <v>79</v>
      </c>
      <c r="C62" s="122"/>
      <c r="D62" s="122"/>
      <c r="E62" s="122"/>
      <c r="F62" s="122"/>
      <c r="G62" s="123"/>
      <c r="H62" s="233">
        <v>3</v>
      </c>
      <c r="I62" s="233"/>
      <c r="J62" s="234" t="s">
        <v>74</v>
      </c>
      <c r="K62" s="234"/>
      <c r="L62" s="206">
        <v>28700</v>
      </c>
      <c r="M62" s="207"/>
      <c r="N62" s="212">
        <v>0</v>
      </c>
      <c r="O62" s="213"/>
      <c r="P62" s="237">
        <f>L62*H62</f>
        <v>86100</v>
      </c>
      <c r="Q62" s="125"/>
      <c r="R62" s="125"/>
      <c r="S62" s="125"/>
      <c r="T62" s="125"/>
      <c r="U62" s="125"/>
    </row>
    <row r="63" spans="1:21" x14ac:dyDescent="0.35">
      <c r="A63" s="232"/>
      <c r="B63" s="92" t="s">
        <v>75</v>
      </c>
      <c r="C63" s="127"/>
      <c r="D63" s="127"/>
      <c r="E63" s="127"/>
      <c r="F63" s="127"/>
      <c r="G63" s="128"/>
      <c r="H63" s="238"/>
      <c r="I63" s="238"/>
      <c r="J63" s="239"/>
      <c r="K63" s="239"/>
      <c r="L63" s="210"/>
      <c r="M63" s="211"/>
      <c r="N63" s="216"/>
      <c r="O63" s="217"/>
      <c r="P63" s="237"/>
      <c r="Q63" s="125"/>
      <c r="R63" s="125"/>
      <c r="S63" s="125"/>
      <c r="T63" s="125"/>
      <c r="U63" s="125"/>
    </row>
    <row r="64" spans="1:21" x14ac:dyDescent="0.35">
      <c r="A64" s="232"/>
      <c r="B64" s="84" t="s">
        <v>80</v>
      </c>
      <c r="C64" s="122"/>
      <c r="D64" s="122"/>
      <c r="E64" s="122"/>
      <c r="F64" s="122"/>
      <c r="G64" s="123"/>
      <c r="H64" s="233">
        <v>25</v>
      </c>
      <c r="I64" s="233"/>
      <c r="J64" s="234" t="s">
        <v>81</v>
      </c>
      <c r="K64" s="234"/>
      <c r="L64" s="234">
        <v>131900</v>
      </c>
      <c r="M64" s="234"/>
      <c r="N64" s="212">
        <v>0</v>
      </c>
      <c r="O64" s="213"/>
      <c r="P64" s="237">
        <f>H64*L64</f>
        <v>3297500</v>
      </c>
      <c r="Q64" s="125"/>
      <c r="R64" s="125"/>
      <c r="S64" s="125"/>
      <c r="T64" s="125"/>
      <c r="U64" s="125"/>
    </row>
    <row r="65" spans="1:21" x14ac:dyDescent="0.35">
      <c r="A65" s="232"/>
      <c r="B65" s="92" t="s">
        <v>82</v>
      </c>
      <c r="C65" s="127"/>
      <c r="D65" s="127"/>
      <c r="E65" s="127"/>
      <c r="F65" s="127"/>
      <c r="G65" s="128"/>
      <c r="H65" s="233"/>
      <c r="I65" s="233"/>
      <c r="J65" s="234"/>
      <c r="K65" s="234"/>
      <c r="L65" s="234"/>
      <c r="M65" s="234"/>
      <c r="N65" s="216"/>
      <c r="O65" s="217"/>
      <c r="P65" s="237"/>
      <c r="Q65" s="125"/>
      <c r="R65" s="125"/>
      <c r="S65" s="125"/>
      <c r="T65" s="125"/>
      <c r="U65" s="125"/>
    </row>
    <row r="66" spans="1:21" x14ac:dyDescent="0.35">
      <c r="A66" s="232"/>
      <c r="B66" s="84" t="s">
        <v>83</v>
      </c>
      <c r="C66" s="122"/>
      <c r="D66" s="122"/>
      <c r="E66" s="122"/>
      <c r="F66" s="122"/>
      <c r="G66" s="123"/>
      <c r="H66" s="233">
        <v>15</v>
      </c>
      <c r="I66" s="233"/>
      <c r="J66" s="234" t="s">
        <v>84</v>
      </c>
      <c r="K66" s="234"/>
      <c r="L66" s="234">
        <v>4400</v>
      </c>
      <c r="M66" s="234"/>
      <c r="N66" s="212">
        <v>0</v>
      </c>
      <c r="O66" s="213"/>
      <c r="P66" s="237">
        <f>L66*H66</f>
        <v>66000</v>
      </c>
      <c r="Q66" s="125"/>
      <c r="R66" s="125"/>
      <c r="S66" s="125"/>
      <c r="T66" s="125"/>
      <c r="U66" s="125"/>
    </row>
    <row r="67" spans="1:21" x14ac:dyDescent="0.35">
      <c r="A67" s="232"/>
      <c r="B67" s="92" t="s">
        <v>85</v>
      </c>
      <c r="C67" s="127"/>
      <c r="D67" s="127"/>
      <c r="E67" s="127"/>
      <c r="F67" s="127"/>
      <c r="G67" s="128"/>
      <c r="H67" s="233"/>
      <c r="I67" s="233"/>
      <c r="J67" s="234"/>
      <c r="K67" s="234"/>
      <c r="L67" s="234"/>
      <c r="M67" s="234"/>
      <c r="N67" s="216"/>
      <c r="O67" s="217"/>
      <c r="P67" s="237"/>
      <c r="Q67" s="125"/>
      <c r="R67" s="125"/>
      <c r="S67" s="125"/>
      <c r="T67" s="125"/>
      <c r="U67" s="125"/>
    </row>
    <row r="68" spans="1:21" x14ac:dyDescent="0.35">
      <c r="A68" s="232"/>
      <c r="B68" s="84" t="s">
        <v>86</v>
      </c>
      <c r="C68" s="122"/>
      <c r="D68" s="122"/>
      <c r="E68" s="122"/>
      <c r="F68" s="122"/>
      <c r="G68" s="123"/>
      <c r="H68" s="233">
        <v>6</v>
      </c>
      <c r="I68" s="233"/>
      <c r="J68" s="234" t="s">
        <v>60</v>
      </c>
      <c r="K68" s="234"/>
      <c r="L68" s="234">
        <v>75900</v>
      </c>
      <c r="M68" s="234"/>
      <c r="N68" s="212">
        <v>0</v>
      </c>
      <c r="O68" s="213"/>
      <c r="P68" s="237">
        <f>L68*H68</f>
        <v>455400</v>
      </c>
      <c r="Q68" s="125"/>
      <c r="R68" s="125"/>
      <c r="S68" s="125"/>
      <c r="T68" s="125"/>
      <c r="U68" s="125"/>
    </row>
    <row r="69" spans="1:21" x14ac:dyDescent="0.35">
      <c r="A69" s="232"/>
      <c r="B69" s="92" t="s">
        <v>87</v>
      </c>
      <c r="C69" s="127"/>
      <c r="D69" s="127"/>
      <c r="E69" s="127"/>
      <c r="F69" s="127"/>
      <c r="G69" s="128"/>
      <c r="H69" s="233"/>
      <c r="I69" s="233"/>
      <c r="J69" s="234"/>
      <c r="K69" s="234"/>
      <c r="L69" s="234"/>
      <c r="M69" s="234"/>
      <c r="N69" s="216"/>
      <c r="O69" s="217"/>
      <c r="P69" s="237"/>
      <c r="Q69" s="125"/>
      <c r="R69" s="125"/>
      <c r="S69" s="125"/>
      <c r="T69" s="125"/>
      <c r="U69" s="125"/>
    </row>
    <row r="70" spans="1:21" x14ac:dyDescent="0.35">
      <c r="A70" s="232"/>
      <c r="B70" s="84" t="s">
        <v>88</v>
      </c>
      <c r="C70" s="122"/>
      <c r="D70" s="122"/>
      <c r="E70" s="122"/>
      <c r="F70" s="122"/>
      <c r="G70" s="123"/>
      <c r="H70" s="233">
        <v>3</v>
      </c>
      <c r="I70" s="233"/>
      <c r="J70" s="234" t="s">
        <v>60</v>
      </c>
      <c r="K70" s="234"/>
      <c r="L70" s="234">
        <v>75900</v>
      </c>
      <c r="M70" s="234"/>
      <c r="N70" s="212">
        <v>0</v>
      </c>
      <c r="O70" s="213"/>
      <c r="P70" s="237">
        <v>227700</v>
      </c>
      <c r="Q70" s="125"/>
      <c r="R70" s="125"/>
      <c r="S70" s="125"/>
      <c r="T70" s="125"/>
      <c r="U70" s="125"/>
    </row>
    <row r="71" spans="1:21" x14ac:dyDescent="0.35">
      <c r="A71" s="232"/>
      <c r="B71" s="92" t="s">
        <v>89</v>
      </c>
      <c r="C71" s="127"/>
      <c r="D71" s="127"/>
      <c r="E71" s="127"/>
      <c r="F71" s="127"/>
      <c r="G71" s="128"/>
      <c r="H71" s="233"/>
      <c r="I71" s="233"/>
      <c r="J71" s="234"/>
      <c r="K71" s="234"/>
      <c r="L71" s="234"/>
      <c r="M71" s="234"/>
      <c r="N71" s="216"/>
      <c r="O71" s="217"/>
      <c r="P71" s="237"/>
      <c r="Q71" s="125"/>
      <c r="R71" s="125"/>
      <c r="S71" s="125"/>
      <c r="T71" s="125"/>
      <c r="U71" s="125"/>
    </row>
    <row r="72" spans="1:21" x14ac:dyDescent="0.35">
      <c r="A72" s="226"/>
      <c r="B72" s="142" t="s">
        <v>90</v>
      </c>
      <c r="C72" s="143"/>
      <c r="D72" s="143"/>
      <c r="E72" s="143"/>
      <c r="F72" s="143"/>
      <c r="G72" s="144"/>
      <c r="H72" s="200">
        <v>1</v>
      </c>
      <c r="I72" s="201"/>
      <c r="J72" s="206" t="s">
        <v>84</v>
      </c>
      <c r="K72" s="207"/>
      <c r="L72" s="228">
        <v>116900</v>
      </c>
      <c r="M72" s="229"/>
      <c r="N72" s="212">
        <v>0</v>
      </c>
      <c r="O72" s="213"/>
      <c r="P72" s="237">
        <f>L72</f>
        <v>116900</v>
      </c>
      <c r="Q72" s="125"/>
      <c r="R72" s="125"/>
      <c r="S72" s="125"/>
      <c r="T72" s="125"/>
      <c r="U72" s="125"/>
    </row>
    <row r="73" spans="1:21" x14ac:dyDescent="0.35">
      <c r="A73" s="227"/>
      <c r="B73" s="92" t="s">
        <v>91</v>
      </c>
      <c r="C73" s="127"/>
      <c r="D73" s="127"/>
      <c r="E73" s="127"/>
      <c r="F73" s="127"/>
      <c r="G73" s="128"/>
      <c r="H73" s="204"/>
      <c r="I73" s="205"/>
      <c r="J73" s="210"/>
      <c r="K73" s="211"/>
      <c r="L73" s="230"/>
      <c r="M73" s="231"/>
      <c r="N73" s="216"/>
      <c r="O73" s="217"/>
      <c r="P73" s="237"/>
      <c r="Q73" s="125"/>
      <c r="R73" s="125"/>
      <c r="S73" s="125"/>
      <c r="T73" s="125"/>
      <c r="U73" s="125"/>
    </row>
    <row r="74" spans="1:21" x14ac:dyDescent="0.35">
      <c r="A74" s="226"/>
      <c r="B74" s="142" t="s">
        <v>90</v>
      </c>
      <c r="C74" s="143"/>
      <c r="D74" s="143"/>
      <c r="E74" s="143"/>
      <c r="F74" s="143"/>
      <c r="G74" s="144"/>
      <c r="H74" s="200">
        <v>1</v>
      </c>
      <c r="I74" s="201"/>
      <c r="J74" s="206" t="s">
        <v>84</v>
      </c>
      <c r="K74" s="207"/>
      <c r="L74" s="228">
        <v>92700</v>
      </c>
      <c r="M74" s="229"/>
      <c r="N74" s="212">
        <v>0</v>
      </c>
      <c r="O74" s="213"/>
      <c r="P74" s="237">
        <f>L74</f>
        <v>92700</v>
      </c>
      <c r="Q74" s="125"/>
      <c r="R74" s="125"/>
      <c r="S74" s="125"/>
      <c r="T74" s="125"/>
      <c r="U74" s="125"/>
    </row>
    <row r="75" spans="1:21" x14ac:dyDescent="0.35">
      <c r="A75" s="227"/>
      <c r="B75" s="142" t="s">
        <v>92</v>
      </c>
      <c r="C75" s="143"/>
      <c r="D75" s="143"/>
      <c r="E75" s="143"/>
      <c r="F75" s="143"/>
      <c r="G75" s="144"/>
      <c r="H75" s="204"/>
      <c r="I75" s="205"/>
      <c r="J75" s="210"/>
      <c r="K75" s="211"/>
      <c r="L75" s="230"/>
      <c r="M75" s="231"/>
      <c r="N75" s="216"/>
      <c r="O75" s="217"/>
      <c r="P75" s="237"/>
      <c r="Q75" s="125"/>
      <c r="R75" s="125"/>
      <c r="S75" s="125"/>
      <c r="T75" s="125"/>
      <c r="U75" s="125"/>
    </row>
    <row r="76" spans="1:21" x14ac:dyDescent="0.35">
      <c r="A76" s="232"/>
      <c r="B76" s="84" t="s">
        <v>93</v>
      </c>
      <c r="C76" s="122"/>
      <c r="D76" s="122"/>
      <c r="E76" s="122"/>
      <c r="F76" s="122"/>
      <c r="G76" s="123"/>
      <c r="H76" s="233">
        <v>12</v>
      </c>
      <c r="I76" s="233"/>
      <c r="J76" s="234" t="s">
        <v>67</v>
      </c>
      <c r="K76" s="234"/>
      <c r="L76" s="234">
        <v>5300</v>
      </c>
      <c r="M76" s="234"/>
      <c r="N76" s="212">
        <v>0</v>
      </c>
      <c r="O76" s="213"/>
      <c r="P76" s="237">
        <f>L76*H76</f>
        <v>63600</v>
      </c>
      <c r="Q76" s="125"/>
      <c r="R76" s="125"/>
      <c r="S76" s="125"/>
      <c r="T76" s="125"/>
      <c r="U76" s="125"/>
    </row>
    <row r="77" spans="1:21" x14ac:dyDescent="0.35">
      <c r="A77" s="232"/>
      <c r="B77" s="92" t="s">
        <v>94</v>
      </c>
      <c r="C77" s="127"/>
      <c r="D77" s="127"/>
      <c r="E77" s="127"/>
      <c r="F77" s="127"/>
      <c r="G77" s="128"/>
      <c r="H77" s="238"/>
      <c r="I77" s="238"/>
      <c r="J77" s="234"/>
      <c r="K77" s="234"/>
      <c r="L77" s="234"/>
      <c r="M77" s="234"/>
      <c r="N77" s="216"/>
      <c r="O77" s="217"/>
      <c r="P77" s="237"/>
      <c r="Q77" s="125"/>
      <c r="R77" s="125"/>
      <c r="S77" s="125"/>
      <c r="T77" s="125"/>
      <c r="U77" s="125"/>
    </row>
    <row r="78" spans="1:21" x14ac:dyDescent="0.35">
      <c r="A78" s="232"/>
      <c r="B78" s="84" t="s">
        <v>83</v>
      </c>
      <c r="C78" s="122"/>
      <c r="D78" s="122"/>
      <c r="E78" s="122"/>
      <c r="F78" s="122"/>
      <c r="G78" s="123"/>
      <c r="H78" s="233">
        <v>20</v>
      </c>
      <c r="I78" s="233"/>
      <c r="J78" s="234" t="s">
        <v>84</v>
      </c>
      <c r="K78" s="234"/>
      <c r="L78" s="234">
        <v>6400</v>
      </c>
      <c r="M78" s="234"/>
      <c r="N78" s="212">
        <v>0</v>
      </c>
      <c r="O78" s="213"/>
      <c r="P78" s="237">
        <f>L78*H78</f>
        <v>128000</v>
      </c>
      <c r="Q78" s="125"/>
      <c r="R78" s="125"/>
      <c r="S78" s="125"/>
      <c r="T78" s="125"/>
      <c r="U78" s="125"/>
    </row>
    <row r="79" spans="1:21" x14ac:dyDescent="0.35">
      <c r="A79" s="232"/>
      <c r="B79" s="92" t="s">
        <v>95</v>
      </c>
      <c r="C79" s="127"/>
      <c r="D79" s="127"/>
      <c r="E79" s="127"/>
      <c r="F79" s="127"/>
      <c r="G79" s="128"/>
      <c r="H79" s="233"/>
      <c r="I79" s="233"/>
      <c r="J79" s="234"/>
      <c r="K79" s="234"/>
      <c r="L79" s="234"/>
      <c r="M79" s="234"/>
      <c r="N79" s="216"/>
      <c r="O79" s="217"/>
      <c r="P79" s="237"/>
      <c r="Q79" s="125"/>
      <c r="R79" s="125"/>
      <c r="S79" s="125"/>
      <c r="T79" s="125"/>
      <c r="U79" s="125"/>
    </row>
    <row r="80" spans="1:21" x14ac:dyDescent="0.35">
      <c r="A80" s="226"/>
      <c r="B80" s="142" t="s">
        <v>96</v>
      </c>
      <c r="C80" s="143"/>
      <c r="D80" s="143"/>
      <c r="E80" s="143"/>
      <c r="F80" s="143"/>
      <c r="G80" s="144"/>
      <c r="H80" s="200">
        <v>1</v>
      </c>
      <c r="I80" s="201"/>
      <c r="J80" s="206" t="s">
        <v>67</v>
      </c>
      <c r="K80" s="207"/>
      <c r="L80" s="228">
        <v>82200</v>
      </c>
      <c r="M80" s="229"/>
      <c r="N80" s="212">
        <v>0</v>
      </c>
      <c r="O80" s="213"/>
      <c r="P80" s="237">
        <f>L80*H80</f>
        <v>82200</v>
      </c>
      <c r="Q80" s="125"/>
      <c r="R80" s="125"/>
      <c r="S80" s="125"/>
      <c r="T80" s="125"/>
      <c r="U80" s="125"/>
    </row>
    <row r="81" spans="1:21" x14ac:dyDescent="0.35">
      <c r="A81" s="227"/>
      <c r="B81" s="142" t="s">
        <v>97</v>
      </c>
      <c r="C81" s="143"/>
      <c r="D81" s="143"/>
      <c r="E81" s="143"/>
      <c r="F81" s="143"/>
      <c r="G81" s="144"/>
      <c r="H81" s="204"/>
      <c r="I81" s="205"/>
      <c r="J81" s="210"/>
      <c r="K81" s="211"/>
      <c r="L81" s="230"/>
      <c r="M81" s="231"/>
      <c r="N81" s="216"/>
      <c r="O81" s="217"/>
      <c r="P81" s="237"/>
      <c r="Q81" s="125"/>
      <c r="R81" s="125"/>
      <c r="S81" s="125"/>
      <c r="T81" s="125"/>
      <c r="U81" s="125"/>
    </row>
    <row r="82" spans="1:21" x14ac:dyDescent="0.35">
      <c r="A82" s="226"/>
      <c r="B82" s="84" t="s">
        <v>98</v>
      </c>
      <c r="C82" s="122"/>
      <c r="D82" s="122"/>
      <c r="E82" s="122"/>
      <c r="F82" s="122"/>
      <c r="G82" s="123"/>
      <c r="H82" s="240">
        <v>25</v>
      </c>
      <c r="I82" s="240"/>
      <c r="J82" s="234" t="s">
        <v>81</v>
      </c>
      <c r="K82" s="234"/>
      <c r="L82" s="237">
        <v>126900</v>
      </c>
      <c r="M82" s="237"/>
      <c r="N82" s="212">
        <v>0</v>
      </c>
      <c r="O82" s="213"/>
      <c r="P82" s="218">
        <f>L82*H82</f>
        <v>3172500</v>
      </c>
      <c r="Q82" s="125"/>
      <c r="R82" s="125"/>
      <c r="S82" s="125"/>
      <c r="T82" s="125"/>
      <c r="U82" s="125"/>
    </row>
    <row r="83" spans="1:21" x14ac:dyDescent="0.35">
      <c r="A83" s="227"/>
      <c r="B83" s="92" t="s">
        <v>99</v>
      </c>
      <c r="C83" s="127"/>
      <c r="D83" s="127"/>
      <c r="E83" s="127"/>
      <c r="F83" s="127"/>
      <c r="G83" s="128"/>
      <c r="H83" s="241"/>
      <c r="I83" s="241"/>
      <c r="J83" s="234"/>
      <c r="K83" s="234"/>
      <c r="L83" s="237"/>
      <c r="M83" s="237"/>
      <c r="N83" s="216"/>
      <c r="O83" s="217"/>
      <c r="P83" s="220"/>
      <c r="Q83" s="147"/>
      <c r="R83" s="125"/>
      <c r="S83" s="147"/>
      <c r="T83" s="125"/>
      <c r="U83" s="125"/>
    </row>
    <row r="84" spans="1:21" x14ac:dyDescent="0.35">
      <c r="A84" s="11" t="s">
        <v>100</v>
      </c>
      <c r="B84" s="6" t="s">
        <v>101</v>
      </c>
      <c r="C84" s="76"/>
      <c r="D84" s="76"/>
      <c r="E84" s="76"/>
      <c r="F84" s="76"/>
      <c r="G84" s="76"/>
      <c r="H84" s="77"/>
      <c r="I84" s="77"/>
      <c r="J84" s="76"/>
      <c r="K84" s="76"/>
      <c r="L84" s="76"/>
      <c r="M84" s="76"/>
      <c r="N84" s="78"/>
      <c r="O84" s="79"/>
      <c r="P84" s="11">
        <f>P85+P95</f>
        <v>6731000</v>
      </c>
      <c r="Q84" s="115">
        <f>P84</f>
        <v>6731000</v>
      </c>
      <c r="R84" s="3"/>
      <c r="S84" s="115"/>
      <c r="T84" s="3"/>
      <c r="U84" s="3"/>
    </row>
    <row r="85" spans="1:21" x14ac:dyDescent="0.35">
      <c r="A85" s="56"/>
      <c r="B85" s="36" t="s">
        <v>102</v>
      </c>
      <c r="C85" s="130"/>
      <c r="D85" s="130"/>
      <c r="E85" s="130"/>
      <c r="F85" s="130"/>
      <c r="G85" s="130"/>
      <c r="H85" s="131"/>
      <c r="I85" s="131"/>
      <c r="J85" s="130"/>
      <c r="K85" s="130"/>
      <c r="L85" s="130"/>
      <c r="M85" s="130"/>
      <c r="N85" s="132"/>
      <c r="O85" s="133"/>
      <c r="P85" s="190">
        <f>P87+P90</f>
        <v>2090000</v>
      </c>
      <c r="Q85" s="1"/>
      <c r="R85" s="1"/>
      <c r="S85" s="1"/>
      <c r="U85" s="1"/>
    </row>
    <row r="86" spans="1:21" x14ac:dyDescent="0.35">
      <c r="A86" s="61"/>
      <c r="B86" s="134" t="s">
        <v>18</v>
      </c>
      <c r="C86" s="135"/>
      <c r="D86" s="135"/>
      <c r="E86" s="135"/>
      <c r="F86" s="135"/>
      <c r="G86" s="135"/>
      <c r="H86" s="136"/>
      <c r="I86" s="136"/>
      <c r="J86" s="135"/>
      <c r="K86" s="135"/>
      <c r="L86" s="135"/>
      <c r="M86" s="135"/>
      <c r="N86" s="137"/>
      <c r="O86" s="138"/>
      <c r="P86" s="191"/>
      <c r="Q86" s="1"/>
      <c r="R86" s="1"/>
      <c r="S86" s="1"/>
      <c r="U86" s="1"/>
    </row>
    <row r="87" spans="1:21" x14ac:dyDescent="0.35">
      <c r="A87" s="66"/>
      <c r="B87" s="102" t="s">
        <v>103</v>
      </c>
      <c r="C87" s="46"/>
      <c r="D87" s="46"/>
      <c r="E87" s="46"/>
      <c r="F87" s="46"/>
      <c r="G87" s="46"/>
      <c r="H87" s="148"/>
      <c r="I87" s="149"/>
      <c r="J87" s="46"/>
      <c r="K87" s="67"/>
      <c r="L87" s="139"/>
      <c r="M87" s="67"/>
      <c r="N87" s="48"/>
      <c r="O87" s="48"/>
      <c r="P87" s="11">
        <f>P88</f>
        <v>600000</v>
      </c>
      <c r="Q87" s="1"/>
      <c r="R87" s="1"/>
      <c r="S87" s="1"/>
      <c r="U87" s="1"/>
    </row>
    <row r="88" spans="1:21" x14ac:dyDescent="0.35">
      <c r="A88" s="56"/>
      <c r="B88" s="84" t="s">
        <v>104</v>
      </c>
      <c r="C88" s="122"/>
      <c r="D88" s="122"/>
      <c r="E88" s="122"/>
      <c r="F88" s="122"/>
      <c r="G88" s="122"/>
      <c r="H88" s="233">
        <v>50</v>
      </c>
      <c r="I88" s="233"/>
      <c r="J88" s="242" t="s">
        <v>105</v>
      </c>
      <c r="K88" s="234"/>
      <c r="L88" s="234">
        <v>12000</v>
      </c>
      <c r="M88" s="234"/>
      <c r="N88" s="212">
        <v>0</v>
      </c>
      <c r="O88" s="213"/>
      <c r="P88" s="237">
        <f>L88*H88</f>
        <v>600000</v>
      </c>
      <c r="Q88" s="1"/>
      <c r="R88" s="1"/>
      <c r="S88" s="1"/>
      <c r="U88" s="1"/>
    </row>
    <row r="89" spans="1:21" x14ac:dyDescent="0.35">
      <c r="A89" s="61"/>
      <c r="B89" s="92" t="s">
        <v>106</v>
      </c>
      <c r="C89" s="127"/>
      <c r="D89" s="127"/>
      <c r="E89" s="127"/>
      <c r="F89" s="127"/>
      <c r="G89" s="127"/>
      <c r="H89" s="233"/>
      <c r="I89" s="233"/>
      <c r="J89" s="242"/>
      <c r="K89" s="234"/>
      <c r="L89" s="234"/>
      <c r="M89" s="234"/>
      <c r="N89" s="216"/>
      <c r="O89" s="217"/>
      <c r="P89" s="237"/>
      <c r="Q89" s="1"/>
      <c r="R89" s="1"/>
      <c r="S89" s="1"/>
      <c r="U89" s="1"/>
    </row>
    <row r="90" spans="1:21" x14ac:dyDescent="0.35">
      <c r="A90" s="82"/>
      <c r="B90" s="150" t="s">
        <v>107</v>
      </c>
      <c r="C90" s="57"/>
      <c r="D90" s="57"/>
      <c r="E90" s="57"/>
      <c r="F90" s="57"/>
      <c r="G90" s="57"/>
      <c r="H90" s="243"/>
      <c r="I90" s="244"/>
      <c r="J90" s="245"/>
      <c r="K90" s="246"/>
      <c r="L90" s="245"/>
      <c r="M90" s="246"/>
      <c r="N90" s="247"/>
      <c r="O90" s="248"/>
      <c r="P90" s="4">
        <f>P91+P93</f>
        <v>1490000</v>
      </c>
      <c r="Q90" s="1"/>
      <c r="R90" s="1"/>
      <c r="S90" s="1"/>
      <c r="U90" s="1"/>
    </row>
    <row r="91" spans="1:21" x14ac:dyDescent="0.35">
      <c r="A91" s="153"/>
      <c r="B91" s="84" t="s">
        <v>108</v>
      </c>
      <c r="C91" s="57"/>
      <c r="D91" s="57"/>
      <c r="E91" s="57"/>
      <c r="F91" s="57"/>
      <c r="G91" s="85"/>
      <c r="H91" s="200">
        <v>2</v>
      </c>
      <c r="I91" s="201"/>
      <c r="J91" s="206" t="s">
        <v>67</v>
      </c>
      <c r="K91" s="207"/>
      <c r="L91" s="206">
        <v>370000</v>
      </c>
      <c r="M91" s="207"/>
      <c r="N91" s="212">
        <v>0</v>
      </c>
      <c r="O91" s="213"/>
      <c r="P91" s="190">
        <f>L91*H91</f>
        <v>740000</v>
      </c>
      <c r="Q91" s="1"/>
      <c r="R91" s="1"/>
      <c r="S91" s="1"/>
      <c r="U91" s="1"/>
    </row>
    <row r="92" spans="1:21" x14ac:dyDescent="0.35">
      <c r="A92" s="152"/>
      <c r="B92" s="154" t="s">
        <v>109</v>
      </c>
      <c r="C92" s="62"/>
      <c r="D92" s="62"/>
      <c r="E92" s="62"/>
      <c r="F92" s="62"/>
      <c r="G92" s="93"/>
      <c r="H92" s="204"/>
      <c r="I92" s="205"/>
      <c r="J92" s="210"/>
      <c r="K92" s="211"/>
      <c r="L92" s="210"/>
      <c r="M92" s="211"/>
      <c r="N92" s="216"/>
      <c r="O92" s="217"/>
      <c r="P92" s="191"/>
      <c r="Q92" s="1"/>
      <c r="R92" s="1"/>
      <c r="S92" s="1"/>
      <c r="U92" s="1"/>
    </row>
    <row r="93" spans="1:21" x14ac:dyDescent="0.35">
      <c r="A93" s="249"/>
      <c r="B93" s="84" t="s">
        <v>110</v>
      </c>
      <c r="C93" s="57"/>
      <c r="D93" s="57"/>
      <c r="E93" s="57"/>
      <c r="F93" s="57"/>
      <c r="G93" s="85"/>
      <c r="H93" s="240">
        <v>10</v>
      </c>
      <c r="I93" s="201"/>
      <c r="J93" s="206" t="s">
        <v>111</v>
      </c>
      <c r="K93" s="207"/>
      <c r="L93" s="206">
        <v>75000</v>
      </c>
      <c r="M93" s="207"/>
      <c r="N93" s="212">
        <v>0</v>
      </c>
      <c r="O93" s="213"/>
      <c r="P93" s="190">
        <f>L93*H93</f>
        <v>750000</v>
      </c>
      <c r="Q93" s="1"/>
      <c r="R93" s="1"/>
      <c r="S93" s="1"/>
      <c r="U93" s="1"/>
    </row>
    <row r="94" spans="1:21" x14ac:dyDescent="0.35">
      <c r="A94" s="245"/>
      <c r="B94" s="154" t="s">
        <v>112</v>
      </c>
      <c r="C94" s="62"/>
      <c r="D94" s="62"/>
      <c r="E94" s="62"/>
      <c r="F94" s="62"/>
      <c r="G94" s="93"/>
      <c r="H94" s="241"/>
      <c r="I94" s="205"/>
      <c r="J94" s="210"/>
      <c r="K94" s="211"/>
      <c r="L94" s="210"/>
      <c r="M94" s="211"/>
      <c r="N94" s="216"/>
      <c r="O94" s="217"/>
      <c r="P94" s="191"/>
      <c r="Q94" s="1"/>
      <c r="R94" s="1"/>
      <c r="S94" s="1"/>
      <c r="U94" s="1"/>
    </row>
    <row r="95" spans="1:21" x14ac:dyDescent="0.35">
      <c r="A95" s="56"/>
      <c r="B95" s="36" t="s">
        <v>113</v>
      </c>
      <c r="C95" s="130"/>
      <c r="D95" s="130"/>
      <c r="E95" s="130"/>
      <c r="F95" s="130"/>
      <c r="G95" s="130"/>
      <c r="H95" s="131"/>
      <c r="I95" s="131"/>
      <c r="J95" s="130"/>
      <c r="K95" s="130"/>
      <c r="L95" s="130"/>
      <c r="M95" s="130"/>
      <c r="N95" s="132"/>
      <c r="O95" s="133"/>
      <c r="P95" s="190">
        <f>P98</f>
        <v>4641000</v>
      </c>
      <c r="Q95" s="1"/>
      <c r="R95" s="1"/>
      <c r="S95" s="1"/>
      <c r="U95" s="1"/>
    </row>
    <row r="96" spans="1:21" x14ac:dyDescent="0.35">
      <c r="A96" s="61"/>
      <c r="B96" s="41" t="s">
        <v>18</v>
      </c>
      <c r="C96" s="135"/>
      <c r="D96" s="135"/>
      <c r="E96" s="135"/>
      <c r="F96" s="135"/>
      <c r="G96" s="135"/>
      <c r="H96" s="136"/>
      <c r="I96" s="136"/>
      <c r="J96" s="135"/>
      <c r="K96" s="135"/>
      <c r="L96" s="135"/>
      <c r="M96" s="135"/>
      <c r="N96" s="137"/>
      <c r="O96" s="138"/>
      <c r="P96" s="191"/>
      <c r="Q96" s="1"/>
      <c r="R96" s="1"/>
      <c r="S96" s="1"/>
      <c r="U96" s="1"/>
    </row>
    <row r="97" spans="1:21" x14ac:dyDescent="0.35">
      <c r="A97" s="66"/>
      <c r="B97" s="102" t="s">
        <v>114</v>
      </c>
      <c r="C97" s="46"/>
      <c r="D97" s="46"/>
      <c r="E97" s="46"/>
      <c r="F97" s="46"/>
      <c r="G97" s="46"/>
      <c r="H97" s="47"/>
      <c r="I97" s="47"/>
      <c r="J97" s="46"/>
      <c r="K97" s="46"/>
      <c r="L97" s="46"/>
      <c r="M97" s="46"/>
      <c r="N97" s="48"/>
      <c r="O97" s="48"/>
      <c r="P97" s="11">
        <f>P98</f>
        <v>4641000</v>
      </c>
      <c r="Q97" s="1"/>
      <c r="R97" s="1"/>
      <c r="S97" s="1"/>
      <c r="U97" s="1"/>
    </row>
    <row r="98" spans="1:21" x14ac:dyDescent="0.35">
      <c r="A98" s="56"/>
      <c r="B98" s="84" t="s">
        <v>115</v>
      </c>
      <c r="C98" s="122"/>
      <c r="D98" s="122"/>
      <c r="E98" s="122"/>
      <c r="F98" s="122"/>
      <c r="G98" s="123"/>
      <c r="H98" s="233">
        <v>6630</v>
      </c>
      <c r="I98" s="233"/>
      <c r="J98" s="234" t="s">
        <v>105</v>
      </c>
      <c r="K98" s="234"/>
      <c r="L98" s="234">
        <v>700</v>
      </c>
      <c r="M98" s="234"/>
      <c r="N98" s="212">
        <v>0</v>
      </c>
      <c r="O98" s="213"/>
      <c r="P98" s="237">
        <f>L98*H98</f>
        <v>4641000</v>
      </c>
      <c r="Q98" s="1"/>
      <c r="R98" s="1"/>
      <c r="S98" s="1"/>
      <c r="U98" s="1"/>
    </row>
    <row r="99" spans="1:21" x14ac:dyDescent="0.35">
      <c r="A99" s="61"/>
      <c r="B99" s="92" t="s">
        <v>116</v>
      </c>
      <c r="C99" s="127"/>
      <c r="D99" s="127"/>
      <c r="E99" s="127"/>
      <c r="F99" s="127"/>
      <c r="G99" s="128"/>
      <c r="H99" s="233"/>
      <c r="I99" s="233"/>
      <c r="J99" s="234"/>
      <c r="K99" s="234"/>
      <c r="L99" s="234"/>
      <c r="M99" s="234"/>
      <c r="N99" s="216"/>
      <c r="O99" s="217"/>
      <c r="P99" s="237"/>
      <c r="Q99" s="118"/>
      <c r="R99" s="1"/>
      <c r="S99" s="118"/>
      <c r="U99" s="1"/>
    </row>
    <row r="100" spans="1:21" x14ac:dyDescent="0.35">
      <c r="A100" s="11" t="s">
        <v>117</v>
      </c>
      <c r="B100" s="6" t="s">
        <v>118</v>
      </c>
      <c r="C100" s="76"/>
      <c r="D100" s="76"/>
      <c r="E100" s="76"/>
      <c r="F100" s="76"/>
      <c r="G100" s="76"/>
      <c r="H100" s="77"/>
      <c r="I100" s="77"/>
      <c r="J100" s="76"/>
      <c r="K100" s="76"/>
      <c r="L100" s="76"/>
      <c r="M100" s="76"/>
      <c r="N100" s="78"/>
      <c r="O100" s="79"/>
      <c r="P100" s="11">
        <f>P101</f>
        <v>3302200</v>
      </c>
      <c r="Q100" s="155">
        <f>P100</f>
        <v>3302200</v>
      </c>
      <c r="R100" s="1"/>
      <c r="S100" s="155"/>
      <c r="U100" s="1"/>
    </row>
    <row r="101" spans="1:21" x14ac:dyDescent="0.35">
      <c r="A101" s="56"/>
      <c r="B101" s="36" t="s">
        <v>64</v>
      </c>
      <c r="C101" s="130"/>
      <c r="D101" s="130"/>
      <c r="E101" s="130"/>
      <c r="F101" s="130"/>
      <c r="G101" s="130"/>
      <c r="H101" s="131"/>
      <c r="I101" s="131"/>
      <c r="J101" s="130"/>
      <c r="K101" s="130"/>
      <c r="L101" s="130"/>
      <c r="M101" s="130"/>
      <c r="N101" s="132"/>
      <c r="O101" s="133"/>
      <c r="P101" s="190">
        <f>P103</f>
        <v>3302200</v>
      </c>
      <c r="Q101" s="1"/>
      <c r="R101" s="1"/>
      <c r="S101" s="1"/>
      <c r="U101" s="1"/>
    </row>
    <row r="102" spans="1:21" x14ac:dyDescent="0.35">
      <c r="A102" s="61"/>
      <c r="B102" s="41" t="s">
        <v>18</v>
      </c>
      <c r="C102" s="135"/>
      <c r="D102" s="135"/>
      <c r="E102" s="135"/>
      <c r="F102" s="135"/>
      <c r="G102" s="135"/>
      <c r="H102" s="136"/>
      <c r="I102" s="136"/>
      <c r="J102" s="135"/>
      <c r="K102" s="135"/>
      <c r="L102" s="135"/>
      <c r="M102" s="135"/>
      <c r="N102" s="137"/>
      <c r="O102" s="138"/>
      <c r="P102" s="191"/>
      <c r="Q102" s="1"/>
      <c r="R102" s="1"/>
      <c r="S102" s="1"/>
      <c r="U102" s="1"/>
    </row>
    <row r="103" spans="1:21" x14ac:dyDescent="0.35">
      <c r="A103" s="66"/>
      <c r="B103" s="76" t="s">
        <v>119</v>
      </c>
      <c r="C103" s="46"/>
      <c r="D103" s="46"/>
      <c r="E103" s="46"/>
      <c r="F103" s="46"/>
      <c r="G103" s="46"/>
      <c r="H103" s="47"/>
      <c r="I103" s="47"/>
      <c r="J103" s="46"/>
      <c r="K103" s="46"/>
      <c r="L103" s="46"/>
      <c r="M103" s="46"/>
      <c r="N103" s="48"/>
      <c r="O103" s="48"/>
      <c r="P103" s="11">
        <f>P104+P106</f>
        <v>3302200</v>
      </c>
      <c r="Q103" s="1"/>
      <c r="R103" s="1"/>
      <c r="S103" s="1"/>
      <c r="U103" s="1"/>
    </row>
    <row r="104" spans="1:21" x14ac:dyDescent="0.35">
      <c r="A104" s="56"/>
      <c r="B104" s="84" t="s">
        <v>120</v>
      </c>
      <c r="C104" s="122"/>
      <c r="D104" s="122"/>
      <c r="E104" s="122"/>
      <c r="F104" s="122"/>
      <c r="G104" s="123"/>
      <c r="H104" s="233">
        <v>12</v>
      </c>
      <c r="I104" s="233"/>
      <c r="J104" s="234" t="s">
        <v>53</v>
      </c>
      <c r="K104" s="234"/>
      <c r="L104" s="234">
        <v>173800</v>
      </c>
      <c r="M104" s="234"/>
      <c r="N104" s="212">
        <v>0</v>
      </c>
      <c r="O104" s="213"/>
      <c r="P104" s="237">
        <f>L104*H104</f>
        <v>2085600</v>
      </c>
      <c r="Q104" s="1"/>
      <c r="R104" s="1"/>
      <c r="S104" s="1"/>
      <c r="U104" s="1"/>
    </row>
    <row r="105" spans="1:21" x14ac:dyDescent="0.35">
      <c r="A105" s="61"/>
      <c r="B105" s="92" t="s">
        <v>121</v>
      </c>
      <c r="C105" s="127"/>
      <c r="D105" s="127"/>
      <c r="E105" s="127"/>
      <c r="F105" s="127"/>
      <c r="G105" s="128"/>
      <c r="H105" s="233"/>
      <c r="I105" s="233"/>
      <c r="J105" s="234"/>
      <c r="K105" s="234"/>
      <c r="L105" s="234"/>
      <c r="M105" s="234"/>
      <c r="N105" s="216"/>
      <c r="O105" s="217"/>
      <c r="P105" s="237"/>
      <c r="Q105" s="1"/>
      <c r="R105" s="1"/>
      <c r="S105" s="1"/>
      <c r="U105" s="1"/>
    </row>
    <row r="106" spans="1:21" x14ac:dyDescent="0.35">
      <c r="A106" s="56"/>
      <c r="B106" s="84" t="s">
        <v>120</v>
      </c>
      <c r="C106" s="122"/>
      <c r="D106" s="122"/>
      <c r="E106" s="122"/>
      <c r="F106" s="122"/>
      <c r="G106" s="123"/>
      <c r="H106" s="233">
        <v>7</v>
      </c>
      <c r="I106" s="233"/>
      <c r="J106" s="234" t="s">
        <v>53</v>
      </c>
      <c r="K106" s="234"/>
      <c r="L106" s="234">
        <v>173800</v>
      </c>
      <c r="M106" s="234"/>
      <c r="N106" s="212">
        <v>0</v>
      </c>
      <c r="O106" s="213"/>
      <c r="P106" s="237">
        <f>L106*H106</f>
        <v>1216600</v>
      </c>
      <c r="Q106" s="1"/>
      <c r="R106" s="1"/>
      <c r="S106" s="1"/>
      <c r="U106" s="1"/>
    </row>
    <row r="107" spans="1:21" x14ac:dyDescent="0.35">
      <c r="A107" s="61"/>
      <c r="B107" s="92" t="s">
        <v>122</v>
      </c>
      <c r="C107" s="127"/>
      <c r="D107" s="127"/>
      <c r="E107" s="127"/>
      <c r="F107" s="127"/>
      <c r="G107" s="128"/>
      <c r="H107" s="233"/>
      <c r="I107" s="233"/>
      <c r="J107" s="234"/>
      <c r="K107" s="234"/>
      <c r="L107" s="234"/>
      <c r="M107" s="234"/>
      <c r="N107" s="216"/>
      <c r="O107" s="217"/>
      <c r="P107" s="237"/>
      <c r="Q107" s="1"/>
      <c r="R107" s="1"/>
      <c r="S107" s="1"/>
      <c r="U107" s="1"/>
    </row>
    <row r="108" spans="1:21" x14ac:dyDescent="0.35">
      <c r="A108" s="11" t="s">
        <v>123</v>
      </c>
      <c r="B108" s="6" t="s">
        <v>124</v>
      </c>
      <c r="C108" s="76"/>
      <c r="D108" s="76"/>
      <c r="E108" s="76"/>
      <c r="F108" s="76"/>
      <c r="G108" s="76"/>
      <c r="H108" s="77"/>
      <c r="I108" s="77"/>
      <c r="J108" s="76"/>
      <c r="K108" s="76"/>
      <c r="L108" s="76"/>
      <c r="M108" s="76"/>
      <c r="N108" s="78"/>
      <c r="O108" s="79"/>
      <c r="P108" s="11">
        <f>P109+P127</f>
        <v>8855327</v>
      </c>
      <c r="Q108" s="155">
        <f>P108</f>
        <v>8855327</v>
      </c>
      <c r="R108" s="1"/>
      <c r="S108" s="155"/>
      <c r="U108" s="1"/>
    </row>
    <row r="109" spans="1:21" x14ac:dyDescent="0.35">
      <c r="A109" s="56"/>
      <c r="B109" s="36" t="s">
        <v>125</v>
      </c>
      <c r="C109" s="130"/>
      <c r="D109" s="130"/>
      <c r="E109" s="130"/>
      <c r="F109" s="130"/>
      <c r="G109" s="130"/>
      <c r="H109" s="131"/>
      <c r="I109" s="131"/>
      <c r="J109" s="130"/>
      <c r="K109" s="130"/>
      <c r="L109" s="130"/>
      <c r="M109" s="130"/>
      <c r="N109" s="132"/>
      <c r="O109" s="133"/>
      <c r="P109" s="190">
        <f>P111+P116</f>
        <v>5794327</v>
      </c>
      <c r="Q109" s="1"/>
      <c r="R109" s="1"/>
      <c r="S109" s="1"/>
      <c r="U109" s="1"/>
    </row>
    <row r="110" spans="1:21" x14ac:dyDescent="0.35">
      <c r="A110" s="61"/>
      <c r="B110" s="41" t="s">
        <v>18</v>
      </c>
      <c r="C110" s="135"/>
      <c r="D110" s="135"/>
      <c r="E110" s="135"/>
      <c r="F110" s="135"/>
      <c r="G110" s="135"/>
      <c r="H110" s="136"/>
      <c r="I110" s="136"/>
      <c r="J110" s="135"/>
      <c r="K110" s="135"/>
      <c r="L110" s="135"/>
      <c r="M110" s="135"/>
      <c r="N110" s="137"/>
      <c r="O110" s="138"/>
      <c r="P110" s="191"/>
      <c r="Q110" s="1"/>
      <c r="R110" s="1"/>
      <c r="S110" s="1"/>
      <c r="U110" s="1"/>
    </row>
    <row r="111" spans="1:21" x14ac:dyDescent="0.35">
      <c r="A111" s="66"/>
      <c r="B111" s="76" t="s">
        <v>126</v>
      </c>
      <c r="C111" s="46"/>
      <c r="D111" s="46"/>
      <c r="E111" s="46"/>
      <c r="F111" s="46"/>
      <c r="G111" s="46"/>
      <c r="H111" s="47"/>
      <c r="I111" s="47"/>
      <c r="J111" s="46"/>
      <c r="K111" s="46"/>
      <c r="L111" s="46"/>
      <c r="M111" s="46"/>
      <c r="N111" s="48"/>
      <c r="O111" s="48"/>
      <c r="P111" s="11">
        <f>SUM(P112:P115)</f>
        <v>1687127</v>
      </c>
      <c r="Q111" s="1"/>
      <c r="R111" s="1"/>
      <c r="S111" s="1"/>
      <c r="U111" s="1"/>
    </row>
    <row r="112" spans="1:21" x14ac:dyDescent="0.35">
      <c r="A112" s="56"/>
      <c r="B112" s="84" t="s">
        <v>127</v>
      </c>
      <c r="C112" s="122"/>
      <c r="D112" s="122"/>
      <c r="E112" s="122"/>
      <c r="F112" s="122"/>
      <c r="G112" s="123"/>
      <c r="H112" s="233">
        <v>1</v>
      </c>
      <c r="I112" s="233"/>
      <c r="J112" s="234" t="s">
        <v>71</v>
      </c>
      <c r="K112" s="234"/>
      <c r="L112" s="234">
        <v>82127</v>
      </c>
      <c r="M112" s="234"/>
      <c r="N112" s="212">
        <v>0</v>
      </c>
      <c r="O112" s="213"/>
      <c r="P112" s="237">
        <f>L112*H112</f>
        <v>82127</v>
      </c>
      <c r="Q112" s="118"/>
      <c r="R112" s="1"/>
      <c r="S112" s="118"/>
      <c r="U112" s="1"/>
    </row>
    <row r="113" spans="1:21" x14ac:dyDescent="0.35">
      <c r="A113" s="61"/>
      <c r="B113" s="92" t="s">
        <v>128</v>
      </c>
      <c r="C113" s="127"/>
      <c r="D113" s="127"/>
      <c r="E113" s="127"/>
      <c r="F113" s="127"/>
      <c r="G113" s="128"/>
      <c r="H113" s="233"/>
      <c r="I113" s="233"/>
      <c r="J113" s="234"/>
      <c r="K113" s="234"/>
      <c r="L113" s="234"/>
      <c r="M113" s="234"/>
      <c r="N113" s="216"/>
      <c r="O113" s="217"/>
      <c r="P113" s="237"/>
      <c r="Q113" s="118"/>
      <c r="R113" s="1"/>
      <c r="S113" s="118"/>
      <c r="U113" s="1"/>
    </row>
    <row r="114" spans="1:21" x14ac:dyDescent="0.35">
      <c r="A114" s="56"/>
      <c r="B114" s="84" t="s">
        <v>129</v>
      </c>
      <c r="C114" s="122"/>
      <c r="D114" s="122"/>
      <c r="E114" s="122"/>
      <c r="F114" s="122"/>
      <c r="G114" s="123"/>
      <c r="H114" s="233">
        <v>5</v>
      </c>
      <c r="I114" s="233"/>
      <c r="J114" s="234" t="s">
        <v>67</v>
      </c>
      <c r="K114" s="234"/>
      <c r="L114" s="234">
        <v>321000</v>
      </c>
      <c r="M114" s="234"/>
      <c r="N114" s="212">
        <v>0</v>
      </c>
      <c r="O114" s="213"/>
      <c r="P114" s="237">
        <f>L114*H114</f>
        <v>1605000</v>
      </c>
      <c r="Q114" s="118"/>
      <c r="R114" s="1"/>
      <c r="S114" s="118"/>
      <c r="U114" s="1"/>
    </row>
    <row r="115" spans="1:21" x14ac:dyDescent="0.35">
      <c r="A115" s="61"/>
      <c r="B115" s="92" t="s">
        <v>130</v>
      </c>
      <c r="C115" s="127"/>
      <c r="D115" s="127"/>
      <c r="E115" s="127"/>
      <c r="F115" s="127"/>
      <c r="G115" s="128"/>
      <c r="H115" s="233"/>
      <c r="I115" s="233"/>
      <c r="J115" s="234"/>
      <c r="K115" s="234"/>
      <c r="L115" s="234"/>
      <c r="M115" s="234"/>
      <c r="N115" s="216"/>
      <c r="O115" s="217"/>
      <c r="P115" s="237"/>
      <c r="Q115" s="118"/>
      <c r="R115" s="1"/>
      <c r="S115" s="118"/>
      <c r="U115" s="1"/>
    </row>
    <row r="116" spans="1:21" x14ac:dyDescent="0.35">
      <c r="A116" s="66"/>
      <c r="B116" s="76" t="s">
        <v>131</v>
      </c>
      <c r="C116" s="46"/>
      <c r="D116" s="46"/>
      <c r="E116" s="46"/>
      <c r="F116" s="46"/>
      <c r="G116" s="46"/>
      <c r="H116" s="47"/>
      <c r="I116" s="47"/>
      <c r="J116" s="46"/>
      <c r="K116" s="46"/>
      <c r="L116" s="46"/>
      <c r="M116" s="46"/>
      <c r="N116" s="48"/>
      <c r="O116" s="48"/>
      <c r="P116" s="11">
        <f>SUM(P117:P126)</f>
        <v>4107200</v>
      </c>
      <c r="Q116" s="1"/>
      <c r="R116" s="1"/>
      <c r="S116" s="1"/>
      <c r="U116" s="1"/>
    </row>
    <row r="117" spans="1:21" x14ac:dyDescent="0.35">
      <c r="A117" s="56"/>
      <c r="B117" s="84" t="s">
        <v>132</v>
      </c>
      <c r="C117" s="122"/>
      <c r="D117" s="122"/>
      <c r="E117" s="122"/>
      <c r="F117" s="122"/>
      <c r="G117" s="123"/>
      <c r="H117" s="233">
        <v>12</v>
      </c>
      <c r="I117" s="233"/>
      <c r="J117" s="234" t="s">
        <v>53</v>
      </c>
      <c r="K117" s="234"/>
      <c r="L117" s="234">
        <v>31100</v>
      </c>
      <c r="M117" s="234"/>
      <c r="N117" s="212">
        <v>0</v>
      </c>
      <c r="O117" s="213"/>
      <c r="P117" s="237">
        <f>L117*H117</f>
        <v>373200</v>
      </c>
      <c r="Q117" s="118"/>
      <c r="R117" s="1"/>
      <c r="S117" s="118"/>
      <c r="U117" s="1"/>
    </row>
    <row r="118" spans="1:21" x14ac:dyDescent="0.35">
      <c r="A118" s="61"/>
      <c r="B118" s="92" t="s">
        <v>133</v>
      </c>
      <c r="C118" s="127"/>
      <c r="D118" s="127"/>
      <c r="E118" s="127"/>
      <c r="F118" s="127"/>
      <c r="G118" s="128"/>
      <c r="H118" s="233"/>
      <c r="I118" s="233"/>
      <c r="J118" s="234"/>
      <c r="K118" s="234"/>
      <c r="L118" s="234"/>
      <c r="M118" s="234"/>
      <c r="N118" s="216"/>
      <c r="O118" s="217"/>
      <c r="P118" s="237"/>
      <c r="Q118" s="118"/>
      <c r="R118" s="1"/>
      <c r="S118" s="118"/>
      <c r="U118" s="1"/>
    </row>
    <row r="119" spans="1:21" x14ac:dyDescent="0.35">
      <c r="A119" s="56"/>
      <c r="B119" s="84" t="s">
        <v>134</v>
      </c>
      <c r="C119" s="122"/>
      <c r="D119" s="122"/>
      <c r="E119" s="122"/>
      <c r="F119" s="122"/>
      <c r="G119" s="123"/>
      <c r="H119" s="233">
        <v>14</v>
      </c>
      <c r="I119" s="233"/>
      <c r="J119" s="234" t="s">
        <v>67</v>
      </c>
      <c r="K119" s="234"/>
      <c r="L119" s="234">
        <v>68500</v>
      </c>
      <c r="M119" s="234"/>
      <c r="N119" s="212">
        <v>0</v>
      </c>
      <c r="O119" s="213"/>
      <c r="P119" s="237">
        <f>L119*H119</f>
        <v>959000</v>
      </c>
      <c r="Q119" s="1"/>
      <c r="R119" s="1"/>
      <c r="S119" s="1"/>
      <c r="U119" s="1"/>
    </row>
    <row r="120" spans="1:21" x14ac:dyDescent="0.35">
      <c r="A120" s="61"/>
      <c r="B120" s="92" t="s">
        <v>135</v>
      </c>
      <c r="C120" s="127"/>
      <c r="D120" s="127"/>
      <c r="E120" s="127"/>
      <c r="F120" s="127"/>
      <c r="G120" s="128"/>
      <c r="H120" s="233"/>
      <c r="I120" s="233"/>
      <c r="J120" s="234"/>
      <c r="K120" s="234"/>
      <c r="L120" s="234"/>
      <c r="M120" s="234"/>
      <c r="N120" s="216"/>
      <c r="O120" s="217"/>
      <c r="P120" s="237"/>
      <c r="Q120" s="1"/>
      <c r="R120" s="1"/>
      <c r="S120" s="1"/>
      <c r="U120" s="1"/>
    </row>
    <row r="121" spans="1:21" x14ac:dyDescent="0.35">
      <c r="A121" s="56"/>
      <c r="B121" s="84" t="s">
        <v>136</v>
      </c>
      <c r="C121" s="122"/>
      <c r="D121" s="122"/>
      <c r="E121" s="122"/>
      <c r="F121" s="122"/>
      <c r="G121" s="123"/>
      <c r="H121" s="233">
        <v>7</v>
      </c>
      <c r="I121" s="233"/>
      <c r="J121" s="234" t="s">
        <v>53</v>
      </c>
      <c r="K121" s="234"/>
      <c r="L121" s="234">
        <v>70000</v>
      </c>
      <c r="M121" s="234"/>
      <c r="N121" s="212">
        <v>0</v>
      </c>
      <c r="O121" s="213"/>
      <c r="P121" s="237">
        <f>L121*H121</f>
        <v>490000</v>
      </c>
      <c r="Q121" s="1"/>
      <c r="R121" s="1"/>
      <c r="S121" s="1"/>
      <c r="U121" s="1"/>
    </row>
    <row r="122" spans="1:21" x14ac:dyDescent="0.35">
      <c r="A122" s="61"/>
      <c r="B122" s="92" t="s">
        <v>137</v>
      </c>
      <c r="C122" s="127"/>
      <c r="D122" s="127"/>
      <c r="E122" s="127"/>
      <c r="F122" s="127"/>
      <c r="G122" s="128"/>
      <c r="H122" s="233"/>
      <c r="I122" s="233"/>
      <c r="J122" s="234"/>
      <c r="K122" s="234"/>
      <c r="L122" s="234"/>
      <c r="M122" s="234"/>
      <c r="N122" s="216"/>
      <c r="O122" s="217"/>
      <c r="P122" s="237"/>
      <c r="Q122" s="1"/>
      <c r="R122" s="1"/>
      <c r="S122" s="1"/>
      <c r="U122" s="1"/>
    </row>
    <row r="123" spans="1:21" x14ac:dyDescent="0.35">
      <c r="A123" s="56"/>
      <c r="B123" s="84" t="s">
        <v>138</v>
      </c>
      <c r="C123" s="122"/>
      <c r="D123" s="122"/>
      <c r="E123" s="122"/>
      <c r="F123" s="122"/>
      <c r="G123" s="123"/>
      <c r="H123" s="233">
        <v>14</v>
      </c>
      <c r="I123" s="233"/>
      <c r="J123" s="234" t="s">
        <v>53</v>
      </c>
      <c r="K123" s="234"/>
      <c r="L123" s="234">
        <v>56500</v>
      </c>
      <c r="M123" s="234"/>
      <c r="N123" s="212">
        <v>0</v>
      </c>
      <c r="O123" s="213"/>
      <c r="P123" s="237">
        <f>L123*H123</f>
        <v>791000</v>
      </c>
      <c r="Q123" s="1"/>
      <c r="R123" s="1"/>
      <c r="S123" s="1"/>
      <c r="U123" s="1"/>
    </row>
    <row r="124" spans="1:21" x14ac:dyDescent="0.35">
      <c r="A124" s="61"/>
      <c r="B124" s="92" t="s">
        <v>139</v>
      </c>
      <c r="C124" s="127"/>
      <c r="D124" s="127"/>
      <c r="E124" s="127"/>
      <c r="F124" s="127"/>
      <c r="G124" s="128"/>
      <c r="H124" s="233"/>
      <c r="I124" s="233"/>
      <c r="J124" s="234"/>
      <c r="K124" s="234"/>
      <c r="L124" s="234"/>
      <c r="M124" s="234"/>
      <c r="N124" s="216"/>
      <c r="O124" s="217"/>
      <c r="P124" s="237"/>
      <c r="Q124" s="1"/>
      <c r="R124" s="1"/>
      <c r="S124" s="1"/>
      <c r="U124" s="1"/>
    </row>
    <row r="125" spans="1:21" x14ac:dyDescent="0.35">
      <c r="A125" s="56"/>
      <c r="B125" s="84" t="s">
        <v>140</v>
      </c>
      <c r="C125" s="122"/>
      <c r="D125" s="122"/>
      <c r="E125" s="122"/>
      <c r="F125" s="122"/>
      <c r="G125" s="123"/>
      <c r="H125" s="233">
        <v>60</v>
      </c>
      <c r="I125" s="233"/>
      <c r="J125" s="234" t="s">
        <v>141</v>
      </c>
      <c r="K125" s="234"/>
      <c r="L125" s="234">
        <v>24900</v>
      </c>
      <c r="M125" s="234"/>
      <c r="N125" s="212">
        <v>0</v>
      </c>
      <c r="O125" s="213"/>
      <c r="P125" s="237">
        <f>L125*H125</f>
        <v>1494000</v>
      </c>
      <c r="Q125" s="1"/>
      <c r="R125" s="1"/>
      <c r="S125" s="1"/>
      <c r="U125" s="1"/>
    </row>
    <row r="126" spans="1:21" x14ac:dyDescent="0.35">
      <c r="A126" s="61"/>
      <c r="B126" s="92" t="s">
        <v>130</v>
      </c>
      <c r="C126" s="127"/>
      <c r="D126" s="127"/>
      <c r="E126" s="127"/>
      <c r="F126" s="127"/>
      <c r="G126" s="128"/>
      <c r="H126" s="233"/>
      <c r="I126" s="233"/>
      <c r="J126" s="234"/>
      <c r="K126" s="234"/>
      <c r="L126" s="234"/>
      <c r="M126" s="234"/>
      <c r="N126" s="216"/>
      <c r="O126" s="217"/>
      <c r="P126" s="237"/>
      <c r="Q126" s="156"/>
      <c r="R126" s="1"/>
      <c r="S126" s="156"/>
      <c r="U126" s="1"/>
    </row>
    <row r="127" spans="1:21" x14ac:dyDescent="0.35">
      <c r="A127" s="56"/>
      <c r="B127" s="36" t="s">
        <v>142</v>
      </c>
      <c r="C127" s="130"/>
      <c r="D127" s="130"/>
      <c r="E127" s="130"/>
      <c r="F127" s="130"/>
      <c r="G127" s="130"/>
      <c r="H127" s="131"/>
      <c r="I127" s="131"/>
      <c r="J127" s="130"/>
      <c r="K127" s="130"/>
      <c r="L127" s="130"/>
      <c r="M127" s="130"/>
      <c r="N127" s="132"/>
      <c r="O127" s="133"/>
      <c r="P127" s="190">
        <f>P129+P132+P135</f>
        <v>3061000</v>
      </c>
      <c r="Q127" s="1"/>
      <c r="R127" s="1"/>
      <c r="S127" s="1"/>
      <c r="U127" s="1"/>
    </row>
    <row r="128" spans="1:21" x14ac:dyDescent="0.35">
      <c r="A128" s="61"/>
      <c r="B128" s="41" t="s">
        <v>18</v>
      </c>
      <c r="C128" s="135"/>
      <c r="D128" s="135"/>
      <c r="E128" s="135"/>
      <c r="F128" s="135"/>
      <c r="G128" s="135"/>
      <c r="H128" s="136"/>
      <c r="I128" s="136"/>
      <c r="J128" s="135"/>
      <c r="K128" s="135"/>
      <c r="L128" s="135"/>
      <c r="M128" s="135"/>
      <c r="N128" s="137"/>
      <c r="O128" s="138"/>
      <c r="P128" s="191"/>
      <c r="Q128" s="89"/>
      <c r="R128" s="1"/>
      <c r="S128" s="1"/>
      <c r="U128" s="1"/>
    </row>
    <row r="129" spans="1:21" x14ac:dyDescent="0.35">
      <c r="A129" s="66"/>
      <c r="B129" s="76" t="s">
        <v>143</v>
      </c>
      <c r="C129" s="46"/>
      <c r="D129" s="46"/>
      <c r="E129" s="46"/>
      <c r="F129" s="46"/>
      <c r="G129" s="46"/>
      <c r="H129" s="47"/>
      <c r="I129" s="47"/>
      <c r="J129" s="46"/>
      <c r="K129" s="46"/>
      <c r="L129" s="46"/>
      <c r="M129" s="46"/>
      <c r="N129" s="48"/>
      <c r="O129" s="48"/>
      <c r="P129" s="11">
        <f>P130</f>
        <v>432000</v>
      </c>
      <c r="Q129" s="1"/>
      <c r="R129" s="1"/>
      <c r="S129" s="1"/>
      <c r="U129" s="1"/>
    </row>
    <row r="130" spans="1:21" x14ac:dyDescent="0.35">
      <c r="A130" s="56"/>
      <c r="B130" s="84" t="s">
        <v>144</v>
      </c>
      <c r="C130" s="122"/>
      <c r="D130" s="122"/>
      <c r="E130" s="122"/>
      <c r="F130" s="122"/>
      <c r="G130" s="123"/>
      <c r="H130" s="233">
        <v>12</v>
      </c>
      <c r="I130" s="233"/>
      <c r="J130" s="234" t="s">
        <v>145</v>
      </c>
      <c r="K130" s="234"/>
      <c r="L130" s="234">
        <v>36000</v>
      </c>
      <c r="M130" s="234"/>
      <c r="N130" s="212">
        <v>0</v>
      </c>
      <c r="O130" s="213"/>
      <c r="P130" s="237">
        <f>L130*H130</f>
        <v>432000</v>
      </c>
      <c r="Q130" s="1"/>
      <c r="R130" s="1"/>
      <c r="S130" s="1"/>
      <c r="U130" s="1"/>
    </row>
    <row r="131" spans="1:21" x14ac:dyDescent="0.35">
      <c r="A131" s="61"/>
      <c r="B131" s="92" t="s">
        <v>146</v>
      </c>
      <c r="C131" s="127"/>
      <c r="D131" s="127"/>
      <c r="E131" s="127"/>
      <c r="F131" s="127"/>
      <c r="G131" s="128"/>
      <c r="H131" s="233"/>
      <c r="I131" s="233"/>
      <c r="J131" s="234"/>
      <c r="K131" s="234"/>
      <c r="L131" s="234"/>
      <c r="M131" s="234"/>
      <c r="N131" s="216"/>
      <c r="O131" s="217"/>
      <c r="P131" s="237"/>
      <c r="Q131" s="1"/>
      <c r="R131" s="1"/>
      <c r="S131" s="1"/>
      <c r="U131" s="1"/>
    </row>
    <row r="132" spans="1:21" x14ac:dyDescent="0.35">
      <c r="A132" s="66"/>
      <c r="B132" s="76" t="s">
        <v>143</v>
      </c>
      <c r="C132" s="46"/>
      <c r="D132" s="46"/>
      <c r="E132" s="46"/>
      <c r="F132" s="46"/>
      <c r="G132" s="46"/>
      <c r="H132" s="47"/>
      <c r="I132" s="47"/>
      <c r="J132" s="46"/>
      <c r="K132" s="46"/>
      <c r="L132" s="46"/>
      <c r="M132" s="46"/>
      <c r="N132" s="48"/>
      <c r="O132" s="48"/>
      <c r="P132" s="11">
        <f>P133</f>
        <v>550000</v>
      </c>
      <c r="Q132" s="1"/>
      <c r="R132" s="1"/>
      <c r="S132" s="1"/>
      <c r="U132" s="1"/>
    </row>
    <row r="133" spans="1:21" x14ac:dyDescent="0.35">
      <c r="A133" s="56"/>
      <c r="B133" s="84" t="s">
        <v>147</v>
      </c>
      <c r="C133" s="122"/>
      <c r="D133" s="122"/>
      <c r="E133" s="122"/>
      <c r="F133" s="122"/>
      <c r="G133" s="123"/>
      <c r="H133" s="233">
        <v>20</v>
      </c>
      <c r="I133" s="233"/>
      <c r="J133" s="234" t="s">
        <v>141</v>
      </c>
      <c r="K133" s="234"/>
      <c r="L133" s="234">
        <v>27500</v>
      </c>
      <c r="M133" s="234"/>
      <c r="N133" s="212">
        <v>0</v>
      </c>
      <c r="O133" s="213"/>
      <c r="P133" s="237">
        <f>L133*H133</f>
        <v>550000</v>
      </c>
      <c r="Q133" s="1"/>
      <c r="R133" s="1"/>
      <c r="S133" s="1"/>
      <c r="U133" s="1"/>
    </row>
    <row r="134" spans="1:21" x14ac:dyDescent="0.35">
      <c r="A134" s="61"/>
      <c r="B134" s="92" t="s">
        <v>148</v>
      </c>
      <c r="C134" s="127"/>
      <c r="D134" s="127"/>
      <c r="E134" s="127"/>
      <c r="F134" s="127"/>
      <c r="G134" s="128"/>
      <c r="H134" s="233"/>
      <c r="I134" s="233"/>
      <c r="J134" s="234"/>
      <c r="K134" s="234"/>
      <c r="L134" s="234"/>
      <c r="M134" s="234"/>
      <c r="N134" s="216"/>
      <c r="O134" s="217"/>
      <c r="P134" s="237"/>
      <c r="Q134" s="1"/>
      <c r="R134" s="1"/>
      <c r="S134" s="1"/>
      <c r="U134" s="1"/>
    </row>
    <row r="135" spans="1:21" x14ac:dyDescent="0.35">
      <c r="A135" s="66"/>
      <c r="B135" s="76" t="s">
        <v>149</v>
      </c>
      <c r="C135" s="46"/>
      <c r="D135" s="46"/>
      <c r="E135" s="46"/>
      <c r="F135" s="46"/>
      <c r="G135" s="46"/>
      <c r="H135" s="47"/>
      <c r="I135" s="47"/>
      <c r="J135" s="46"/>
      <c r="K135" s="46"/>
      <c r="L135" s="46"/>
      <c r="M135" s="46"/>
      <c r="N135" s="48"/>
      <c r="O135" s="48"/>
      <c r="P135" s="11">
        <f>P136</f>
        <v>2079000</v>
      </c>
      <c r="Q135" s="1"/>
      <c r="R135" s="1"/>
      <c r="S135" s="1"/>
      <c r="U135" s="1"/>
    </row>
    <row r="136" spans="1:21" x14ac:dyDescent="0.35">
      <c r="A136" s="56"/>
      <c r="B136" s="84" t="s">
        <v>150</v>
      </c>
      <c r="C136" s="122"/>
      <c r="D136" s="122"/>
      <c r="E136" s="122"/>
      <c r="F136" s="122"/>
      <c r="G136" s="123"/>
      <c r="H136" s="233">
        <v>3</v>
      </c>
      <c r="I136" s="233"/>
      <c r="J136" s="234" t="s">
        <v>151</v>
      </c>
      <c r="K136" s="234"/>
      <c r="L136" s="234">
        <v>693000</v>
      </c>
      <c r="M136" s="234"/>
      <c r="N136" s="212">
        <v>0</v>
      </c>
      <c r="O136" s="213"/>
      <c r="P136" s="237">
        <f>L136*H136</f>
        <v>2079000</v>
      </c>
      <c r="Q136" s="1"/>
      <c r="R136" s="1"/>
      <c r="S136" s="1"/>
      <c r="U136" s="1"/>
    </row>
    <row r="137" spans="1:21" x14ac:dyDescent="0.35">
      <c r="A137" s="61"/>
      <c r="B137" s="92" t="s">
        <v>130</v>
      </c>
      <c r="C137" s="127"/>
      <c r="D137" s="127"/>
      <c r="E137" s="127"/>
      <c r="F137" s="127"/>
      <c r="G137" s="128"/>
      <c r="H137" s="233"/>
      <c r="I137" s="233"/>
      <c r="J137" s="234"/>
      <c r="K137" s="234"/>
      <c r="L137" s="234"/>
      <c r="M137" s="234"/>
      <c r="N137" s="216"/>
      <c r="O137" s="217"/>
      <c r="P137" s="237"/>
      <c r="Q137" s="1"/>
      <c r="R137" s="1"/>
      <c r="S137" s="1"/>
      <c r="U137" s="1"/>
    </row>
    <row r="138" spans="1:21" x14ac:dyDescent="0.35">
      <c r="A138" s="11" t="s">
        <v>152</v>
      </c>
      <c r="B138" s="157" t="s">
        <v>153</v>
      </c>
      <c r="C138" s="158"/>
      <c r="D138" s="158"/>
      <c r="E138" s="158"/>
      <c r="F138" s="158"/>
      <c r="G138" s="158"/>
      <c r="H138" s="77"/>
      <c r="I138" s="77"/>
      <c r="J138" s="159"/>
      <c r="K138" s="159"/>
      <c r="L138" s="159"/>
      <c r="M138" s="159"/>
      <c r="N138" s="146"/>
      <c r="O138" s="94"/>
      <c r="P138" s="141">
        <f>P139</f>
        <v>3680000</v>
      </c>
      <c r="Q138" s="89">
        <f>P138</f>
        <v>3680000</v>
      </c>
      <c r="R138" s="1"/>
      <c r="S138" s="1"/>
      <c r="U138" s="1"/>
    </row>
    <row r="139" spans="1:21" x14ac:dyDescent="0.35">
      <c r="A139" s="56"/>
      <c r="B139" s="36" t="s">
        <v>125</v>
      </c>
      <c r="C139" s="130"/>
      <c r="D139" s="130"/>
      <c r="E139" s="130"/>
      <c r="F139" s="130"/>
      <c r="G139" s="130"/>
      <c r="H139" s="131"/>
      <c r="I139" s="131"/>
      <c r="J139" s="130"/>
      <c r="K139" s="130"/>
      <c r="L139" s="130"/>
      <c r="M139" s="130"/>
      <c r="N139" s="132"/>
      <c r="O139" s="133"/>
      <c r="P139" s="190">
        <f>P141+P143</f>
        <v>3680000</v>
      </c>
      <c r="Q139" s="1"/>
      <c r="R139" s="1"/>
      <c r="S139" s="1"/>
      <c r="U139" s="1"/>
    </row>
    <row r="140" spans="1:21" x14ac:dyDescent="0.35">
      <c r="A140" s="61"/>
      <c r="B140" s="41" t="s">
        <v>18</v>
      </c>
      <c r="C140" s="135"/>
      <c r="D140" s="135"/>
      <c r="E140" s="135"/>
      <c r="F140" s="135"/>
      <c r="G140" s="135"/>
      <c r="H140" s="136"/>
      <c r="I140" s="136"/>
      <c r="J140" s="135"/>
      <c r="K140" s="135"/>
      <c r="L140" s="135"/>
      <c r="M140" s="135"/>
      <c r="N140" s="137"/>
      <c r="O140" s="138"/>
      <c r="P140" s="191"/>
      <c r="Q140" s="1"/>
      <c r="R140" s="1"/>
      <c r="S140" s="1"/>
      <c r="U140" s="1"/>
    </row>
    <row r="141" spans="1:21" x14ac:dyDescent="0.35">
      <c r="A141" s="56"/>
      <c r="B141" s="84" t="s">
        <v>154</v>
      </c>
      <c r="C141" s="122"/>
      <c r="D141" s="122"/>
      <c r="E141" s="122"/>
      <c r="F141" s="122"/>
      <c r="G141" s="123"/>
      <c r="H141" s="233">
        <v>20</v>
      </c>
      <c r="I141" s="233"/>
      <c r="J141" s="234" t="s">
        <v>155</v>
      </c>
      <c r="K141" s="234"/>
      <c r="L141" s="234">
        <v>46000</v>
      </c>
      <c r="M141" s="234"/>
      <c r="N141" s="212">
        <v>0</v>
      </c>
      <c r="O141" s="213"/>
      <c r="P141" s="237">
        <f>L141*H141</f>
        <v>920000</v>
      </c>
      <c r="Q141" s="1"/>
      <c r="R141" s="1"/>
      <c r="S141" s="1"/>
      <c r="U141" s="1"/>
    </row>
    <row r="142" spans="1:21" x14ac:dyDescent="0.35">
      <c r="A142" s="61"/>
      <c r="B142" s="92" t="s">
        <v>130</v>
      </c>
      <c r="C142" s="127"/>
      <c r="D142" s="127"/>
      <c r="E142" s="127"/>
      <c r="F142" s="127"/>
      <c r="G142" s="128"/>
      <c r="H142" s="233"/>
      <c r="I142" s="233"/>
      <c r="J142" s="234"/>
      <c r="K142" s="234"/>
      <c r="L142" s="234"/>
      <c r="M142" s="234"/>
      <c r="N142" s="216"/>
      <c r="O142" s="217"/>
      <c r="P142" s="237"/>
      <c r="Q142" s="1"/>
      <c r="R142" s="1"/>
      <c r="S142" s="1"/>
      <c r="U142" s="1"/>
    </row>
    <row r="143" spans="1:21" x14ac:dyDescent="0.35">
      <c r="A143" s="56"/>
      <c r="B143" s="84" t="s">
        <v>156</v>
      </c>
      <c r="C143" s="122"/>
      <c r="D143" s="122"/>
      <c r="E143" s="122"/>
      <c r="F143" s="122"/>
      <c r="G143" s="123"/>
      <c r="H143" s="233">
        <v>80</v>
      </c>
      <c r="I143" s="233"/>
      <c r="J143" s="234" t="s">
        <v>53</v>
      </c>
      <c r="K143" s="234"/>
      <c r="L143" s="234">
        <v>34500</v>
      </c>
      <c r="M143" s="234"/>
      <c r="N143" s="212">
        <v>0</v>
      </c>
      <c r="O143" s="213"/>
      <c r="P143" s="237">
        <f>L143*H143</f>
        <v>2760000</v>
      </c>
      <c r="Q143" s="1"/>
      <c r="R143" s="1"/>
      <c r="S143" s="1"/>
      <c r="U143" s="1"/>
    </row>
    <row r="144" spans="1:21" x14ac:dyDescent="0.35">
      <c r="A144" s="61"/>
      <c r="B144" s="92" t="s">
        <v>157</v>
      </c>
      <c r="C144" s="127"/>
      <c r="D144" s="127"/>
      <c r="E144" s="127"/>
      <c r="F144" s="127"/>
      <c r="G144" s="128"/>
      <c r="H144" s="233"/>
      <c r="I144" s="233"/>
      <c r="J144" s="234"/>
      <c r="K144" s="234"/>
      <c r="L144" s="234"/>
      <c r="M144" s="234"/>
      <c r="N144" s="216"/>
      <c r="O144" s="217"/>
      <c r="P144" s="237"/>
      <c r="Q144" s="1"/>
      <c r="R144" s="1"/>
      <c r="S144" s="1"/>
      <c r="U144" s="1"/>
    </row>
    <row r="145" spans="1:21" x14ac:dyDescent="0.35">
      <c r="A145" s="69" t="s">
        <v>158</v>
      </c>
      <c r="B145" s="69" t="s">
        <v>159</v>
      </c>
      <c r="C145" s="109"/>
      <c r="D145" s="109"/>
      <c r="E145" s="109"/>
      <c r="F145" s="109"/>
      <c r="G145" s="109"/>
      <c r="H145" s="110"/>
      <c r="I145" s="110"/>
      <c r="J145" s="109"/>
      <c r="K145" s="109"/>
      <c r="L145" s="109"/>
      <c r="M145" s="109"/>
      <c r="N145" s="111"/>
      <c r="O145" s="111"/>
      <c r="P145" s="68">
        <f>P147+P154</f>
        <v>12240000</v>
      </c>
      <c r="Q145" s="160">
        <f>P145</f>
        <v>12240000</v>
      </c>
      <c r="R145" s="113"/>
      <c r="S145" s="160"/>
      <c r="T145" s="114"/>
      <c r="U145" s="113"/>
    </row>
    <row r="146" spans="1:21" x14ac:dyDescent="0.35">
      <c r="A146" s="6" t="s">
        <v>160</v>
      </c>
      <c r="B146" s="6" t="s">
        <v>161</v>
      </c>
      <c r="C146" s="7"/>
      <c r="D146" s="7"/>
      <c r="E146" s="7"/>
      <c r="F146" s="7"/>
      <c r="G146" s="7"/>
      <c r="H146" s="8"/>
      <c r="I146" s="8"/>
      <c r="J146" s="7"/>
      <c r="K146" s="7"/>
      <c r="L146" s="7"/>
      <c r="M146" s="7"/>
      <c r="N146" s="9"/>
      <c r="O146" s="9"/>
      <c r="P146" s="11">
        <f>P147+P154</f>
        <v>12240000</v>
      </c>
      <c r="Q146" s="1"/>
      <c r="R146" s="1"/>
      <c r="S146" s="1"/>
      <c r="U146" s="1"/>
    </row>
    <row r="147" spans="1:21" x14ac:dyDescent="0.35">
      <c r="A147" s="6" t="s">
        <v>162</v>
      </c>
      <c r="B147" s="6" t="s">
        <v>163</v>
      </c>
      <c r="C147" s="7"/>
      <c r="D147" s="7"/>
      <c r="E147" s="7"/>
      <c r="F147" s="7"/>
      <c r="G147" s="7"/>
      <c r="H147" s="8"/>
      <c r="I147" s="8"/>
      <c r="J147" s="7"/>
      <c r="K147" s="7"/>
      <c r="L147" s="7"/>
      <c r="M147" s="7"/>
      <c r="N147" s="9"/>
      <c r="O147" s="9"/>
      <c r="P147" s="11">
        <v>10320000</v>
      </c>
      <c r="Q147" s="1"/>
      <c r="R147" s="1"/>
      <c r="S147" s="1"/>
      <c r="U147" s="1"/>
    </row>
    <row r="148" spans="1:21" x14ac:dyDescent="0.35">
      <c r="A148" s="56"/>
      <c r="B148" s="36" t="s">
        <v>164</v>
      </c>
      <c r="C148" s="130"/>
      <c r="D148" s="130"/>
      <c r="E148" s="130"/>
      <c r="F148" s="130"/>
      <c r="G148" s="130"/>
      <c r="H148" s="131"/>
      <c r="I148" s="131"/>
      <c r="J148" s="130"/>
      <c r="K148" s="130"/>
      <c r="L148" s="130"/>
      <c r="M148" s="130"/>
      <c r="N148" s="132"/>
      <c r="O148" s="133"/>
      <c r="P148" s="190">
        <f>P147</f>
        <v>10320000</v>
      </c>
      <c r="Q148" s="118"/>
      <c r="R148" s="1"/>
      <c r="S148" s="118"/>
      <c r="U148" s="1"/>
    </row>
    <row r="149" spans="1:21" x14ac:dyDescent="0.35">
      <c r="A149" s="61"/>
      <c r="B149" s="41" t="s">
        <v>18</v>
      </c>
      <c r="C149" s="135"/>
      <c r="D149" s="135"/>
      <c r="E149" s="135"/>
      <c r="F149" s="135"/>
      <c r="G149" s="135"/>
      <c r="H149" s="136"/>
      <c r="I149" s="136"/>
      <c r="J149" s="135"/>
      <c r="K149" s="135"/>
      <c r="L149" s="135"/>
      <c r="M149" s="135"/>
      <c r="N149" s="137"/>
      <c r="O149" s="138"/>
      <c r="P149" s="191"/>
      <c r="Q149" s="1"/>
      <c r="R149" s="1"/>
      <c r="S149" s="1"/>
      <c r="U149" s="1"/>
    </row>
    <row r="150" spans="1:21" x14ac:dyDescent="0.35">
      <c r="A150" s="66"/>
      <c r="B150" s="76" t="s">
        <v>165</v>
      </c>
      <c r="C150" s="46"/>
      <c r="D150" s="46"/>
      <c r="E150" s="46"/>
      <c r="F150" s="46"/>
      <c r="G150" s="46"/>
      <c r="H150" s="47"/>
      <c r="I150" s="47"/>
      <c r="J150" s="46"/>
      <c r="K150" s="46"/>
      <c r="L150" s="46"/>
      <c r="M150" s="46"/>
      <c r="N150" s="48"/>
      <c r="O150" s="48"/>
      <c r="P150" s="11">
        <f>P148</f>
        <v>10320000</v>
      </c>
      <c r="Q150" s="118"/>
      <c r="R150" s="1"/>
      <c r="S150" s="118"/>
      <c r="U150" s="1"/>
    </row>
    <row r="151" spans="1:21" x14ac:dyDescent="0.35">
      <c r="A151" s="56"/>
      <c r="B151" s="84" t="s">
        <v>166</v>
      </c>
      <c r="C151" s="122"/>
      <c r="D151" s="122"/>
      <c r="E151" s="122"/>
      <c r="F151" s="122"/>
      <c r="G151" s="123"/>
      <c r="H151" s="233">
        <v>12</v>
      </c>
      <c r="I151" s="233"/>
      <c r="J151" s="234" t="s">
        <v>41</v>
      </c>
      <c r="K151" s="234"/>
      <c r="L151" s="234">
        <v>860000</v>
      </c>
      <c r="M151" s="234"/>
      <c r="N151" s="212">
        <v>0</v>
      </c>
      <c r="O151" s="213"/>
      <c r="P151" s="237">
        <f>H151*L151</f>
        <v>10320000</v>
      </c>
      <c r="Q151" s="1"/>
      <c r="R151" s="1"/>
      <c r="S151" s="1"/>
      <c r="U151" s="1"/>
    </row>
    <row r="152" spans="1:21" x14ac:dyDescent="0.35">
      <c r="A152" s="87"/>
      <c r="B152" s="161" t="s">
        <v>167</v>
      </c>
      <c r="C152" s="143"/>
      <c r="D152" s="143"/>
      <c r="E152" s="143"/>
      <c r="F152" s="143"/>
      <c r="G152" s="144"/>
      <c r="H152" s="233"/>
      <c r="I152" s="233"/>
      <c r="J152" s="234"/>
      <c r="K152" s="234"/>
      <c r="L152" s="234"/>
      <c r="M152" s="234"/>
      <c r="N152" s="214"/>
      <c r="O152" s="215"/>
      <c r="P152" s="237"/>
      <c r="Q152" s="1"/>
      <c r="R152" s="1"/>
      <c r="S152" s="1"/>
      <c r="U152" s="1"/>
    </row>
    <row r="153" spans="1:21" x14ac:dyDescent="0.35">
      <c r="A153" s="61"/>
      <c r="B153" s="92" t="s">
        <v>168</v>
      </c>
      <c r="C153" s="127"/>
      <c r="D153" s="127"/>
      <c r="E153" s="127"/>
      <c r="F153" s="127"/>
      <c r="G153" s="128"/>
      <c r="H153" s="233"/>
      <c r="I153" s="233"/>
      <c r="J153" s="234"/>
      <c r="K153" s="234"/>
      <c r="L153" s="234"/>
      <c r="M153" s="234"/>
      <c r="N153" s="216"/>
      <c r="O153" s="217"/>
      <c r="P153" s="237"/>
      <c r="Q153" s="118"/>
      <c r="R153" s="1"/>
      <c r="S153" s="118"/>
      <c r="U153" s="1"/>
    </row>
    <row r="154" spans="1:21" x14ac:dyDescent="0.35">
      <c r="A154" s="6" t="s">
        <v>169</v>
      </c>
      <c r="B154" s="162" t="s">
        <v>170</v>
      </c>
      <c r="C154" s="143"/>
      <c r="D154" s="143"/>
      <c r="E154" s="143"/>
      <c r="F154" s="143"/>
      <c r="G154" s="143"/>
      <c r="H154" s="145"/>
      <c r="I154" s="145"/>
      <c r="J154" s="163"/>
      <c r="K154" s="163"/>
      <c r="L154" s="163"/>
      <c r="M154" s="163"/>
      <c r="N154" s="164"/>
      <c r="O154" s="91"/>
      <c r="P154" s="2">
        <f>P158</f>
        <v>1920000</v>
      </c>
      <c r="Q154" s="155"/>
      <c r="R154" s="1"/>
      <c r="S154" s="155"/>
      <c r="U154" s="1"/>
    </row>
    <row r="155" spans="1:21" x14ac:dyDescent="0.35">
      <c r="A155" s="165"/>
      <c r="B155" s="36" t="s">
        <v>171</v>
      </c>
      <c r="C155" s="130"/>
      <c r="D155" s="130"/>
      <c r="E155" s="130"/>
      <c r="F155" s="130"/>
      <c r="G155" s="130"/>
      <c r="H155" s="131"/>
      <c r="I155" s="131"/>
      <c r="J155" s="130"/>
      <c r="K155" s="130"/>
      <c r="L155" s="130"/>
      <c r="M155" s="130"/>
      <c r="N155" s="132"/>
      <c r="O155" s="133"/>
      <c r="P155" s="190">
        <f>P157</f>
        <v>1920000</v>
      </c>
      <c r="Q155" s="1"/>
      <c r="R155" s="1"/>
      <c r="S155" s="1"/>
      <c r="U155" s="1"/>
    </row>
    <row r="156" spans="1:21" x14ac:dyDescent="0.35">
      <c r="A156" s="61"/>
      <c r="B156" s="41" t="s">
        <v>18</v>
      </c>
      <c r="C156" s="135"/>
      <c r="D156" s="135"/>
      <c r="E156" s="135"/>
      <c r="F156" s="135"/>
      <c r="G156" s="135"/>
      <c r="H156" s="136"/>
      <c r="I156" s="136"/>
      <c r="J156" s="135"/>
      <c r="K156" s="135"/>
      <c r="L156" s="135"/>
      <c r="M156" s="135"/>
      <c r="N156" s="137"/>
      <c r="O156" s="138"/>
      <c r="P156" s="191"/>
      <c r="Q156" s="1"/>
      <c r="R156" s="1"/>
      <c r="S156" s="1"/>
      <c r="U156" s="1"/>
    </row>
    <row r="157" spans="1:21" x14ac:dyDescent="0.35">
      <c r="A157" s="66"/>
      <c r="B157" s="76" t="s">
        <v>172</v>
      </c>
      <c r="C157" s="46"/>
      <c r="D157" s="46"/>
      <c r="E157" s="46"/>
      <c r="F157" s="46"/>
      <c r="G157" s="46"/>
      <c r="H157" s="47"/>
      <c r="I157" s="47"/>
      <c r="J157" s="46"/>
      <c r="K157" s="46"/>
      <c r="L157" s="46"/>
      <c r="M157" s="46"/>
      <c r="N157" s="48"/>
      <c r="O157" s="48"/>
      <c r="P157" s="11">
        <f>P158</f>
        <v>1920000</v>
      </c>
      <c r="Q157" s="1"/>
      <c r="R157" s="1"/>
      <c r="S157" s="1"/>
      <c r="U157" s="1"/>
    </row>
    <row r="158" spans="1:21" x14ac:dyDescent="0.35">
      <c r="A158" s="56"/>
      <c r="B158" s="84" t="s">
        <v>173</v>
      </c>
      <c r="C158" s="122"/>
      <c r="D158" s="122"/>
      <c r="E158" s="122"/>
      <c r="F158" s="122"/>
      <c r="G158" s="123"/>
      <c r="H158" s="233">
        <v>12</v>
      </c>
      <c r="I158" s="233"/>
      <c r="J158" s="234" t="s">
        <v>174</v>
      </c>
      <c r="K158" s="234"/>
      <c r="L158" s="234">
        <v>160000</v>
      </c>
      <c r="M158" s="234"/>
      <c r="N158" s="212">
        <v>0</v>
      </c>
      <c r="O158" s="213"/>
      <c r="P158" s="237">
        <f>L158*H158</f>
        <v>1920000</v>
      </c>
      <c r="Q158" s="155"/>
      <c r="R158" s="1"/>
      <c r="S158" s="155"/>
      <c r="U158" s="1"/>
    </row>
    <row r="159" spans="1:21" x14ac:dyDescent="0.35">
      <c r="A159" s="61"/>
      <c r="B159" s="92" t="s">
        <v>175</v>
      </c>
      <c r="C159" s="127"/>
      <c r="D159" s="127"/>
      <c r="E159" s="127"/>
      <c r="F159" s="127"/>
      <c r="G159" s="128"/>
      <c r="H159" s="233"/>
      <c r="I159" s="233"/>
      <c r="J159" s="234"/>
      <c r="K159" s="234"/>
      <c r="L159" s="234"/>
      <c r="M159" s="234"/>
      <c r="N159" s="216"/>
      <c r="O159" s="217"/>
      <c r="P159" s="237"/>
      <c r="Q159" s="1"/>
      <c r="R159" s="1"/>
      <c r="S159" s="1"/>
      <c r="U159" s="1"/>
    </row>
    <row r="160" spans="1:21" x14ac:dyDescent="0.35">
      <c r="A160" s="69" t="s">
        <v>176</v>
      </c>
      <c r="B160" s="69" t="s">
        <v>177</v>
      </c>
      <c r="C160" s="109"/>
      <c r="D160" s="109"/>
      <c r="E160" s="109"/>
      <c r="F160" s="109"/>
      <c r="G160" s="109"/>
      <c r="H160" s="110"/>
      <c r="I160" s="110"/>
      <c r="J160" s="109"/>
      <c r="K160" s="109"/>
      <c r="L160" s="109"/>
      <c r="M160" s="109"/>
      <c r="N160" s="111"/>
      <c r="O160" s="111"/>
      <c r="P160" s="68">
        <f>P163</f>
        <v>2640000</v>
      </c>
      <c r="Q160" s="166">
        <f>P160</f>
        <v>2640000</v>
      </c>
      <c r="R160" s="113"/>
      <c r="S160" s="113"/>
      <c r="T160" s="114"/>
      <c r="U160" s="113"/>
    </row>
    <row r="161" spans="1:21" x14ac:dyDescent="0.35">
      <c r="A161" s="6" t="s">
        <v>178</v>
      </c>
      <c r="B161" s="6" t="s">
        <v>179</v>
      </c>
      <c r="C161" s="7"/>
      <c r="D161" s="7"/>
      <c r="E161" s="7"/>
      <c r="F161" s="7"/>
      <c r="G161" s="7"/>
      <c r="H161" s="8"/>
      <c r="I161" s="8"/>
      <c r="J161" s="7"/>
      <c r="K161" s="7"/>
      <c r="L161" s="7"/>
      <c r="M161" s="7"/>
      <c r="N161" s="9"/>
      <c r="O161" s="9"/>
      <c r="P161" s="11">
        <f>P163</f>
        <v>2640000</v>
      </c>
      <c r="Q161" s="1"/>
      <c r="R161" s="1"/>
      <c r="S161" s="1"/>
      <c r="U161" s="1"/>
    </row>
    <row r="162" spans="1:21" x14ac:dyDescent="0.35">
      <c r="A162" s="6" t="s">
        <v>180</v>
      </c>
      <c r="B162" s="6" t="s">
        <v>181</v>
      </c>
      <c r="C162" s="7"/>
      <c r="D162" s="7"/>
      <c r="E162" s="7"/>
      <c r="F162" s="7"/>
      <c r="G162" s="7"/>
      <c r="H162" s="8"/>
      <c r="I162" s="8"/>
      <c r="J162" s="7"/>
      <c r="K162" s="7"/>
      <c r="L162" s="7"/>
      <c r="M162" s="7"/>
      <c r="N162" s="9"/>
      <c r="O162" s="9"/>
      <c r="P162" s="11">
        <f>P163</f>
        <v>2640000</v>
      </c>
      <c r="Q162" s="1"/>
      <c r="R162" s="1"/>
      <c r="S162" s="1"/>
      <c r="U162" s="1"/>
    </row>
    <row r="163" spans="1:21" x14ac:dyDescent="0.35">
      <c r="A163" s="56"/>
      <c r="B163" s="36" t="s">
        <v>182</v>
      </c>
      <c r="C163" s="130"/>
      <c r="D163" s="130"/>
      <c r="E163" s="130"/>
      <c r="F163" s="130"/>
      <c r="G163" s="130"/>
      <c r="H163" s="131"/>
      <c r="I163" s="131"/>
      <c r="J163" s="130"/>
      <c r="K163" s="130"/>
      <c r="L163" s="130"/>
      <c r="M163" s="130"/>
      <c r="N163" s="132"/>
      <c r="O163" s="133"/>
      <c r="P163" s="190">
        <f>P165+P170</f>
        <v>2640000</v>
      </c>
      <c r="Q163" s="1"/>
      <c r="R163" s="1"/>
      <c r="S163" s="1"/>
      <c r="U163" s="1"/>
    </row>
    <row r="164" spans="1:21" x14ac:dyDescent="0.35">
      <c r="A164" s="61"/>
      <c r="B164" s="41" t="s">
        <v>18</v>
      </c>
      <c r="C164" s="135"/>
      <c r="D164" s="135"/>
      <c r="E164" s="135"/>
      <c r="F164" s="135"/>
      <c r="G164" s="135"/>
      <c r="H164" s="136"/>
      <c r="I164" s="136"/>
      <c r="J164" s="135"/>
      <c r="K164" s="135"/>
      <c r="L164" s="135"/>
      <c r="M164" s="135"/>
      <c r="N164" s="137"/>
      <c r="O164" s="138"/>
      <c r="P164" s="191"/>
      <c r="Q164" s="1"/>
      <c r="R164" s="1"/>
      <c r="S164" s="1"/>
      <c r="U164" s="1"/>
    </row>
    <row r="165" spans="1:21" x14ac:dyDescent="0.35">
      <c r="A165" s="66"/>
      <c r="B165" s="76" t="s">
        <v>183</v>
      </c>
      <c r="C165" s="46"/>
      <c r="D165" s="46"/>
      <c r="E165" s="46"/>
      <c r="F165" s="46"/>
      <c r="G165" s="46"/>
      <c r="H165" s="47"/>
      <c r="I165" s="47"/>
      <c r="J165" s="46"/>
      <c r="K165" s="46"/>
      <c r="L165" s="46"/>
      <c r="M165" s="46"/>
      <c r="N165" s="48"/>
      <c r="O165" s="48"/>
      <c r="P165" s="11">
        <v>1960000</v>
      </c>
      <c r="Q165" s="155"/>
      <c r="R165" s="1"/>
      <c r="S165" s="155"/>
      <c r="U165" s="1"/>
    </row>
    <row r="166" spans="1:21" x14ac:dyDescent="0.35">
      <c r="A166" s="198"/>
      <c r="B166" s="122" t="s">
        <v>184</v>
      </c>
      <c r="C166" s="122"/>
      <c r="D166" s="122"/>
      <c r="E166" s="122"/>
      <c r="F166" s="122"/>
      <c r="G166" s="123"/>
      <c r="H166" s="233">
        <v>2</v>
      </c>
      <c r="I166" s="233"/>
      <c r="J166" s="234" t="s">
        <v>185</v>
      </c>
      <c r="K166" s="234"/>
      <c r="L166" s="234">
        <v>980000</v>
      </c>
      <c r="M166" s="234"/>
      <c r="N166" s="212">
        <v>0</v>
      </c>
      <c r="O166" s="213"/>
      <c r="P166" s="234">
        <f>H166*L166</f>
        <v>1960000</v>
      </c>
      <c r="Q166" s="1"/>
      <c r="R166" s="1"/>
      <c r="S166" s="1"/>
      <c r="U166" s="1"/>
    </row>
    <row r="167" spans="1:21" x14ac:dyDescent="0.35">
      <c r="A167" s="250"/>
      <c r="B167" s="167" t="s">
        <v>186</v>
      </c>
      <c r="C167" s="143"/>
      <c r="D167" s="143"/>
      <c r="E167" s="143"/>
      <c r="F167" s="143"/>
      <c r="G167" s="144"/>
      <c r="H167" s="233"/>
      <c r="I167" s="233"/>
      <c r="J167" s="234"/>
      <c r="K167" s="234"/>
      <c r="L167" s="234"/>
      <c r="M167" s="234"/>
      <c r="N167" s="214"/>
      <c r="O167" s="215"/>
      <c r="P167" s="234"/>
      <c r="Q167" s="1"/>
      <c r="R167" s="1"/>
      <c r="S167" s="1"/>
      <c r="U167" s="1"/>
    </row>
    <row r="168" spans="1:21" x14ac:dyDescent="0.35">
      <c r="A168" s="250"/>
      <c r="B168" s="167" t="s">
        <v>187</v>
      </c>
      <c r="C168" s="143"/>
      <c r="D168" s="143"/>
      <c r="E168" s="143"/>
      <c r="F168" s="143"/>
      <c r="G168" s="144"/>
      <c r="H168" s="233"/>
      <c r="I168" s="233"/>
      <c r="J168" s="234"/>
      <c r="K168" s="234"/>
      <c r="L168" s="234"/>
      <c r="M168" s="234"/>
      <c r="N168" s="214"/>
      <c r="O168" s="215"/>
      <c r="P168" s="234"/>
      <c r="Q168" s="1"/>
      <c r="R168" s="1"/>
      <c r="S168" s="1"/>
      <c r="U168" s="1"/>
    </row>
    <row r="169" spans="1:21" x14ac:dyDescent="0.35">
      <c r="A169" s="199"/>
      <c r="B169" s="92" t="s">
        <v>188</v>
      </c>
      <c r="C169" s="62"/>
      <c r="D169" s="62"/>
      <c r="E169" s="62"/>
      <c r="F169" s="62"/>
      <c r="G169" s="93"/>
      <c r="H169" s="233"/>
      <c r="I169" s="233"/>
      <c r="J169" s="234"/>
      <c r="K169" s="234"/>
      <c r="L169" s="234"/>
      <c r="M169" s="234"/>
      <c r="N169" s="216"/>
      <c r="O169" s="217"/>
      <c r="P169" s="234"/>
      <c r="Q169" s="1"/>
      <c r="R169" s="1"/>
      <c r="S169" s="1"/>
      <c r="U169" s="1"/>
    </row>
    <row r="170" spans="1:21" x14ac:dyDescent="0.35">
      <c r="A170" s="66"/>
      <c r="B170" s="76" t="s">
        <v>189</v>
      </c>
      <c r="C170" s="46"/>
      <c r="D170" s="46"/>
      <c r="E170" s="46"/>
      <c r="F170" s="46"/>
      <c r="G170" s="46"/>
      <c r="H170" s="47"/>
      <c r="I170" s="47"/>
      <c r="J170" s="46"/>
      <c r="K170" s="46"/>
      <c r="L170" s="46"/>
      <c r="M170" s="46"/>
      <c r="N170" s="48"/>
      <c r="O170" s="48"/>
      <c r="P170" s="11">
        <f>P171</f>
        <v>680000</v>
      </c>
      <c r="Q170" s="115"/>
      <c r="R170" s="1"/>
      <c r="S170" s="115"/>
      <c r="U170" s="1"/>
    </row>
    <row r="171" spans="1:21" x14ac:dyDescent="0.35">
      <c r="A171" s="198"/>
      <c r="B171" s="122" t="s">
        <v>190</v>
      </c>
      <c r="C171" s="122"/>
      <c r="D171" s="122"/>
      <c r="E171" s="122"/>
      <c r="F171" s="122"/>
      <c r="G171" s="123"/>
      <c r="H171" s="233">
        <v>4</v>
      </c>
      <c r="I171" s="233"/>
      <c r="J171" s="234" t="s">
        <v>191</v>
      </c>
      <c r="K171" s="234"/>
      <c r="L171" s="234">
        <v>170000</v>
      </c>
      <c r="M171" s="234"/>
      <c r="N171" s="212">
        <v>0</v>
      </c>
      <c r="O171" s="213"/>
      <c r="P171" s="234">
        <f>L171*H171</f>
        <v>680000</v>
      </c>
      <c r="Q171" s="1"/>
      <c r="R171" s="1"/>
      <c r="S171" s="1"/>
      <c r="U171" s="1"/>
    </row>
    <row r="172" spans="1:21" x14ac:dyDescent="0.35">
      <c r="A172" s="250"/>
      <c r="B172" s="167" t="s">
        <v>192</v>
      </c>
      <c r="C172" s="143"/>
      <c r="D172" s="143"/>
      <c r="E172" s="143"/>
      <c r="F172" s="143"/>
      <c r="G172" s="144"/>
      <c r="H172" s="233"/>
      <c r="I172" s="233"/>
      <c r="J172" s="234"/>
      <c r="K172" s="234"/>
      <c r="L172" s="234"/>
      <c r="M172" s="234"/>
      <c r="N172" s="214"/>
      <c r="O172" s="215"/>
      <c r="P172" s="234"/>
      <c r="Q172" s="1"/>
      <c r="R172" s="1"/>
      <c r="S172" s="1"/>
      <c r="U172" s="1"/>
    </row>
    <row r="173" spans="1:21" x14ac:dyDescent="0.35">
      <c r="A173" s="250"/>
      <c r="B173" s="167" t="s">
        <v>193</v>
      </c>
      <c r="C173" s="143"/>
      <c r="D173" s="143"/>
      <c r="E173" s="143"/>
      <c r="F173" s="143"/>
      <c r="G173" s="144"/>
      <c r="H173" s="233"/>
      <c r="I173" s="233"/>
      <c r="J173" s="234"/>
      <c r="K173" s="234"/>
      <c r="L173" s="234"/>
      <c r="M173" s="234"/>
      <c r="N173" s="216"/>
      <c r="O173" s="217"/>
      <c r="P173" s="234"/>
      <c r="Q173" s="155"/>
      <c r="R173" s="1"/>
      <c r="S173" s="155"/>
      <c r="U173" s="1"/>
    </row>
    <row r="174" spans="1:21" x14ac:dyDescent="0.35">
      <c r="A174" s="168" t="s">
        <v>194</v>
      </c>
      <c r="B174" s="15" t="s">
        <v>195</v>
      </c>
      <c r="C174" s="16"/>
      <c r="D174" s="16"/>
      <c r="E174" s="16"/>
      <c r="F174" s="16"/>
      <c r="G174" s="16"/>
      <c r="H174" s="17"/>
      <c r="I174" s="17"/>
      <c r="J174" s="16"/>
      <c r="K174" s="16"/>
      <c r="L174" s="16"/>
      <c r="M174" s="16"/>
      <c r="N174" s="18"/>
      <c r="O174" s="18"/>
      <c r="P174" s="20">
        <f>P175</f>
        <v>5801673</v>
      </c>
      <c r="Q174" s="169"/>
      <c r="R174" s="169"/>
      <c r="S174" s="169"/>
      <c r="T174" s="170"/>
      <c r="U174" s="169"/>
    </row>
    <row r="175" spans="1:21" ht="14.5" customHeight="1" x14ac:dyDescent="0.35">
      <c r="A175" s="171" t="s">
        <v>196</v>
      </c>
      <c r="B175" s="266" t="s">
        <v>197</v>
      </c>
      <c r="C175" s="267"/>
      <c r="D175" s="267"/>
      <c r="E175" s="267"/>
      <c r="F175" s="268"/>
      <c r="G175" s="26"/>
      <c r="H175" s="27"/>
      <c r="I175" s="27"/>
      <c r="J175" s="26"/>
      <c r="K175" s="26"/>
      <c r="L175" s="26"/>
      <c r="M175" s="26"/>
      <c r="N175" s="28"/>
      <c r="O175" s="28"/>
      <c r="P175" s="30">
        <f>P176</f>
        <v>5801673</v>
      </c>
      <c r="Q175" s="106"/>
      <c r="R175" s="107">
        <v>8027</v>
      </c>
      <c r="S175" s="106"/>
      <c r="T175" s="108"/>
      <c r="U175" s="107"/>
    </row>
    <row r="176" spans="1:21" x14ac:dyDescent="0.35">
      <c r="A176" s="6"/>
      <c r="B176" s="269"/>
      <c r="C176" s="270"/>
      <c r="D176" s="270"/>
      <c r="E176" s="270"/>
      <c r="F176" s="271"/>
      <c r="G176" s="7"/>
      <c r="H176" s="8"/>
      <c r="I176" s="8"/>
      <c r="J176" s="7"/>
      <c r="K176" s="7"/>
      <c r="L176" s="7"/>
      <c r="M176" s="7"/>
      <c r="N176" s="9"/>
      <c r="O176" s="9"/>
      <c r="P176" s="11">
        <f>P177</f>
        <v>5801673</v>
      </c>
      <c r="Q176" s="1"/>
      <c r="R176" s="1"/>
      <c r="S176" s="1"/>
      <c r="U176" s="1"/>
    </row>
    <row r="177" spans="1:21" x14ac:dyDescent="0.35">
      <c r="A177" s="6"/>
      <c r="B177" s="269"/>
      <c r="C177" s="270"/>
      <c r="D177" s="270"/>
      <c r="E177" s="270"/>
      <c r="F177" s="271"/>
      <c r="G177" s="7"/>
      <c r="H177" s="8"/>
      <c r="I177" s="8"/>
      <c r="J177" s="7"/>
      <c r="K177" s="7"/>
      <c r="L177" s="7"/>
      <c r="M177" s="7"/>
      <c r="N177" s="9"/>
      <c r="O177" s="9"/>
      <c r="P177" s="11">
        <f>P178</f>
        <v>5801673</v>
      </c>
      <c r="Q177" s="1"/>
      <c r="R177" s="1"/>
      <c r="S177" s="1"/>
      <c r="U177" s="1"/>
    </row>
    <row r="178" spans="1:21" x14ac:dyDescent="0.35">
      <c r="A178" s="6"/>
      <c r="B178" s="269"/>
      <c r="C178" s="270"/>
      <c r="D178" s="270"/>
      <c r="E178" s="270"/>
      <c r="F178" s="271"/>
      <c r="G178" s="7"/>
      <c r="H178" s="8"/>
      <c r="I178" s="8"/>
      <c r="J178" s="7"/>
      <c r="K178" s="7"/>
      <c r="L178" s="7"/>
      <c r="M178" s="7"/>
      <c r="N178" s="9"/>
      <c r="O178" s="9"/>
      <c r="P178" s="11">
        <f>P179</f>
        <v>5801673</v>
      </c>
      <c r="Q178" s="1"/>
      <c r="R178" s="1">
        <f>R175*14</f>
        <v>112378</v>
      </c>
      <c r="S178" s="1"/>
      <c r="U178" s="1"/>
    </row>
    <row r="179" spans="1:21" x14ac:dyDescent="0.35">
      <c r="A179" s="56"/>
      <c r="B179" s="36" t="s">
        <v>198</v>
      </c>
      <c r="C179" s="130"/>
      <c r="D179" s="130"/>
      <c r="E179" s="130"/>
      <c r="F179" s="130"/>
      <c r="G179" s="130"/>
      <c r="H179" s="131"/>
      <c r="I179" s="131"/>
      <c r="J179" s="130"/>
      <c r="K179" s="130"/>
      <c r="L179" s="130"/>
      <c r="M179" s="130"/>
      <c r="N179" s="132"/>
      <c r="O179" s="133"/>
      <c r="P179" s="190">
        <f>P182+P185</f>
        <v>5801673</v>
      </c>
      <c r="Q179" s="1"/>
      <c r="R179" s="1"/>
      <c r="S179" s="1"/>
      <c r="U179" s="1"/>
    </row>
    <row r="180" spans="1:21" x14ac:dyDescent="0.35">
      <c r="A180" s="61"/>
      <c r="B180" s="41" t="s">
        <v>18</v>
      </c>
      <c r="C180" s="135"/>
      <c r="D180" s="135"/>
      <c r="E180" s="135"/>
      <c r="F180" s="135"/>
      <c r="G180" s="135"/>
      <c r="H180" s="136"/>
      <c r="I180" s="136"/>
      <c r="J180" s="135"/>
      <c r="K180" s="135"/>
      <c r="L180" s="135"/>
      <c r="M180" s="135"/>
      <c r="N180" s="137"/>
      <c r="O180" s="138"/>
      <c r="P180" s="191"/>
      <c r="Q180" s="1"/>
      <c r="R180" s="1"/>
      <c r="S180" s="1"/>
      <c r="U180" s="1"/>
    </row>
    <row r="181" spans="1:21" x14ac:dyDescent="0.35">
      <c r="A181" s="66"/>
      <c r="B181" s="76" t="s">
        <v>199</v>
      </c>
      <c r="C181" s="46"/>
      <c r="D181" s="46"/>
      <c r="E181" s="46"/>
      <c r="F181" s="46"/>
      <c r="G181" s="46"/>
      <c r="H181" s="47"/>
      <c r="I181" s="47"/>
      <c r="J181" s="46"/>
      <c r="K181" s="46"/>
      <c r="L181" s="46"/>
      <c r="M181" s="46"/>
      <c r="N181" s="48"/>
      <c r="O181" s="48"/>
      <c r="P181" s="11">
        <f>P179</f>
        <v>5801673</v>
      </c>
      <c r="Q181" s="1"/>
      <c r="R181" s="1"/>
      <c r="S181" s="1"/>
      <c r="U181" s="1"/>
    </row>
    <row r="182" spans="1:21" x14ac:dyDescent="0.35">
      <c r="A182" s="56"/>
      <c r="B182" s="84" t="s">
        <v>200</v>
      </c>
      <c r="C182" s="122"/>
      <c r="D182" s="122"/>
      <c r="E182" s="122"/>
      <c r="F182" s="122"/>
      <c r="G182" s="123"/>
      <c r="H182" s="200">
        <v>1</v>
      </c>
      <c r="I182" s="201"/>
      <c r="J182" s="206" t="s">
        <v>201</v>
      </c>
      <c r="K182" s="207"/>
      <c r="L182" s="206">
        <v>4119173</v>
      </c>
      <c r="M182" s="207"/>
      <c r="N182" s="212">
        <v>0</v>
      </c>
      <c r="O182" s="213"/>
      <c r="P182" s="218">
        <f>L182*H182</f>
        <v>4119173</v>
      </c>
      <c r="Q182" s="155"/>
      <c r="R182" s="1"/>
      <c r="S182" s="155"/>
      <c r="U182" s="1"/>
    </row>
    <row r="183" spans="1:21" x14ac:dyDescent="0.35">
      <c r="A183" s="61"/>
      <c r="B183" s="92" t="s">
        <v>202</v>
      </c>
      <c r="C183" s="127"/>
      <c r="D183" s="127"/>
      <c r="E183" s="127"/>
      <c r="F183" s="127"/>
      <c r="G183" s="128"/>
      <c r="H183" s="204"/>
      <c r="I183" s="205"/>
      <c r="J183" s="210"/>
      <c r="K183" s="211"/>
      <c r="L183" s="210"/>
      <c r="M183" s="211"/>
      <c r="N183" s="216"/>
      <c r="O183" s="217"/>
      <c r="P183" s="220"/>
      <c r="Q183" s="1"/>
      <c r="R183" s="1"/>
      <c r="S183" s="1"/>
      <c r="U183" s="1"/>
    </row>
    <row r="184" spans="1:21" x14ac:dyDescent="0.35">
      <c r="A184" s="11"/>
      <c r="B184" s="157" t="s">
        <v>203</v>
      </c>
      <c r="C184" s="158"/>
      <c r="D184" s="158"/>
      <c r="E184" s="158"/>
      <c r="F184" s="158"/>
      <c r="G184" s="158"/>
      <c r="H184" s="77"/>
      <c r="I184" s="77"/>
      <c r="J184" s="159"/>
      <c r="K184" s="159"/>
      <c r="L184" s="159"/>
      <c r="M184" s="159"/>
      <c r="N184" s="146"/>
      <c r="O184" s="94"/>
      <c r="P184" s="141">
        <f>P185</f>
        <v>1682500</v>
      </c>
      <c r="Q184" s="89">
        <f>P184</f>
        <v>1682500</v>
      </c>
      <c r="R184" s="1"/>
      <c r="S184" s="1"/>
      <c r="T184" s="1"/>
      <c r="U184" s="1"/>
    </row>
    <row r="185" spans="1:21" x14ac:dyDescent="0.35">
      <c r="A185" s="56"/>
      <c r="B185" s="36" t="s">
        <v>204</v>
      </c>
      <c r="C185" s="130"/>
      <c r="D185" s="130"/>
      <c r="E185" s="130"/>
      <c r="F185" s="130"/>
      <c r="G185" s="130"/>
      <c r="H185" s="131"/>
      <c r="I185" s="131"/>
      <c r="J185" s="130"/>
      <c r="K185" s="130"/>
      <c r="L185" s="130"/>
      <c r="M185" s="130"/>
      <c r="N185" s="132"/>
      <c r="O185" s="133"/>
      <c r="P185" s="190">
        <f>P187</f>
        <v>1682500</v>
      </c>
      <c r="Q185" s="1"/>
      <c r="R185" s="1"/>
      <c r="S185" s="1"/>
      <c r="T185" s="1"/>
      <c r="U185" s="1"/>
    </row>
    <row r="186" spans="1:21" x14ac:dyDescent="0.35">
      <c r="A186" s="61"/>
      <c r="B186" s="41" t="s">
        <v>18</v>
      </c>
      <c r="C186" s="135"/>
      <c r="D186" s="135"/>
      <c r="E186" s="135"/>
      <c r="F186" s="135"/>
      <c r="G186" s="135"/>
      <c r="H186" s="136"/>
      <c r="I186" s="136"/>
      <c r="J186" s="135"/>
      <c r="K186" s="135"/>
      <c r="L186" s="135"/>
      <c r="M186" s="135"/>
      <c r="N186" s="137"/>
      <c r="O186" s="138"/>
      <c r="P186" s="191"/>
      <c r="Q186" s="1"/>
      <c r="R186" s="1"/>
      <c r="S186" s="1"/>
      <c r="T186" s="1"/>
      <c r="U186" s="1"/>
    </row>
    <row r="187" spans="1:21" x14ac:dyDescent="0.35">
      <c r="A187" s="56"/>
      <c r="B187" s="143" t="s">
        <v>205</v>
      </c>
      <c r="C187" s="122"/>
      <c r="D187" s="122"/>
      <c r="E187" s="122"/>
      <c r="F187" s="122"/>
      <c r="G187" s="123"/>
      <c r="H187" s="233">
        <v>5</v>
      </c>
      <c r="I187" s="233"/>
      <c r="J187" s="234" t="s">
        <v>67</v>
      </c>
      <c r="K187" s="234"/>
      <c r="L187" s="234">
        <v>336500</v>
      </c>
      <c r="M187" s="234"/>
      <c r="N187" s="212">
        <v>0</v>
      </c>
      <c r="O187" s="213"/>
      <c r="P187" s="237">
        <f>L187*H187</f>
        <v>1682500</v>
      </c>
      <c r="Q187" s="1"/>
      <c r="R187" s="1"/>
      <c r="S187" s="1"/>
      <c r="T187" s="1"/>
      <c r="U187" s="1"/>
    </row>
    <row r="188" spans="1:21" x14ac:dyDescent="0.35">
      <c r="A188" s="61"/>
      <c r="B188" s="92" t="s">
        <v>130</v>
      </c>
      <c r="C188" s="127"/>
      <c r="D188" s="127"/>
      <c r="E188" s="127"/>
      <c r="F188" s="127"/>
      <c r="G188" s="128"/>
      <c r="H188" s="233"/>
      <c r="I188" s="233"/>
      <c r="J188" s="234"/>
      <c r="K188" s="234"/>
      <c r="L188" s="234"/>
      <c r="M188" s="234"/>
      <c r="N188" s="216"/>
      <c r="O188" s="217"/>
      <c r="P188" s="237"/>
      <c r="Q188" s="155"/>
      <c r="R188" s="1"/>
      <c r="S188" s="155"/>
      <c r="T188" s="1"/>
      <c r="U188" s="1"/>
    </row>
    <row r="189" spans="1:21" x14ac:dyDescent="0.35">
      <c r="A189" s="251" t="s">
        <v>206</v>
      </c>
      <c r="B189" s="252"/>
      <c r="C189" s="252"/>
      <c r="D189" s="252"/>
      <c r="E189" s="252"/>
      <c r="F189" s="252"/>
      <c r="G189" s="252"/>
      <c r="H189" s="252"/>
      <c r="I189" s="252"/>
      <c r="J189" s="252"/>
      <c r="K189" s="252"/>
      <c r="L189" s="252"/>
      <c r="M189" s="252"/>
      <c r="N189" s="252"/>
      <c r="O189" s="253"/>
      <c r="P189" s="11">
        <f>P4+P174</f>
        <v>161304000</v>
      </c>
      <c r="Q189" s="3"/>
      <c r="R189" s="3"/>
      <c r="S189" s="3"/>
      <c r="T189" s="3"/>
      <c r="U189" s="3"/>
    </row>
    <row r="190" spans="1:21" x14ac:dyDescent="0.35">
      <c r="A190" s="172"/>
      <c r="B190" s="59"/>
      <c r="C190" s="59"/>
      <c r="D190" s="59"/>
      <c r="E190" s="59"/>
      <c r="F190" s="59"/>
      <c r="G190" s="59"/>
      <c r="H190" s="58"/>
      <c r="I190" s="173"/>
      <c r="J190" s="172"/>
      <c r="K190" s="174" t="s">
        <v>207</v>
      </c>
      <c r="L190" s="59"/>
      <c r="M190" s="59"/>
      <c r="N190" s="59"/>
      <c r="O190" s="59"/>
      <c r="P190" s="60"/>
      <c r="Q190" s="1"/>
      <c r="R190" s="1"/>
      <c r="S190" s="1"/>
      <c r="U190" s="1"/>
    </row>
    <row r="191" spans="1:21" x14ac:dyDescent="0.35">
      <c r="A191" s="175"/>
      <c r="B191" s="1"/>
      <c r="C191" s="1"/>
      <c r="D191" s="1"/>
      <c r="E191" s="1"/>
      <c r="F191" s="1"/>
      <c r="G191" s="1"/>
      <c r="H191" s="117"/>
      <c r="I191" s="176"/>
      <c r="J191" s="175"/>
      <c r="K191" s="1"/>
      <c r="L191" s="125" t="s">
        <v>208</v>
      </c>
      <c r="M191" s="1"/>
      <c r="N191" s="1"/>
      <c r="O191" s="1"/>
      <c r="P191" s="177"/>
      <c r="Q191" s="1" t="s">
        <v>209</v>
      </c>
      <c r="R191" s="1" t="s">
        <v>210</v>
      </c>
      <c r="S191" s="1" t="s">
        <v>211</v>
      </c>
      <c r="T191" s="1" t="s">
        <v>212</v>
      </c>
      <c r="U191" s="1" t="s">
        <v>213</v>
      </c>
    </row>
    <row r="192" spans="1:21" x14ac:dyDescent="0.35">
      <c r="A192" s="175"/>
      <c r="B192" s="1"/>
      <c r="C192" s="1"/>
      <c r="D192" s="1"/>
      <c r="E192" s="1"/>
      <c r="F192" s="1"/>
      <c r="G192" s="1"/>
      <c r="H192" s="117"/>
      <c r="I192" s="176"/>
      <c r="J192" s="175"/>
      <c r="K192" s="1"/>
      <c r="L192" s="1"/>
      <c r="M192" s="1"/>
      <c r="N192" s="1"/>
      <c r="O192" s="1"/>
      <c r="P192" s="177"/>
      <c r="Q192" s="166">
        <f>P33</f>
        <v>51519927</v>
      </c>
      <c r="R192" s="178">
        <f>Q192+Q197</f>
        <v>57321600</v>
      </c>
      <c r="S192" s="179">
        <f>P18</f>
        <v>103982400</v>
      </c>
      <c r="T192" s="180">
        <f>P189</f>
        <v>161304000</v>
      </c>
      <c r="U192" s="181">
        <v>161304000</v>
      </c>
    </row>
    <row r="193" spans="1:21" x14ac:dyDescent="0.35">
      <c r="A193" s="175"/>
      <c r="B193" s="1"/>
      <c r="C193" s="1"/>
      <c r="D193" s="1"/>
      <c r="E193" s="1"/>
      <c r="F193" s="1"/>
      <c r="G193" s="1"/>
      <c r="H193" s="117"/>
      <c r="I193" s="176"/>
      <c r="J193" s="175"/>
      <c r="K193" s="1"/>
      <c r="L193" s="1"/>
      <c r="M193" s="1"/>
      <c r="N193" s="1"/>
      <c r="O193" s="1"/>
      <c r="P193" s="177"/>
      <c r="Q193" s="89"/>
      <c r="R193" s="89"/>
      <c r="S193" s="89"/>
      <c r="U193" s="182">
        <f>U192-T192</f>
        <v>0</v>
      </c>
    </row>
    <row r="194" spans="1:21" x14ac:dyDescent="0.35">
      <c r="A194" s="175"/>
      <c r="B194" s="1"/>
      <c r="C194" s="1"/>
      <c r="D194" s="1"/>
      <c r="E194" s="1"/>
      <c r="F194" s="1"/>
      <c r="G194" s="1"/>
      <c r="H194" s="117"/>
      <c r="I194" s="176"/>
      <c r="J194" s="175"/>
      <c r="K194" s="1"/>
      <c r="L194" s="1"/>
      <c r="M194" s="1"/>
      <c r="N194" s="1"/>
      <c r="O194" s="1"/>
      <c r="P194" s="177"/>
      <c r="Q194" s="183">
        <f>R192-Q192</f>
        <v>5801673</v>
      </c>
      <c r="R194" s="184">
        <f>(Q192/R192)*100%</f>
        <v>0.89878731577625193</v>
      </c>
      <c r="S194" s="89"/>
      <c r="U194" s="1"/>
    </row>
    <row r="195" spans="1:21" x14ac:dyDescent="0.35">
      <c r="A195" s="175"/>
      <c r="B195" s="1"/>
      <c r="C195" s="1"/>
      <c r="D195" s="1"/>
      <c r="E195" s="1"/>
      <c r="F195" s="1"/>
      <c r="G195" s="1"/>
      <c r="H195" s="117"/>
      <c r="I195" s="176"/>
      <c r="J195" s="175"/>
      <c r="K195" s="1"/>
      <c r="L195" s="1"/>
      <c r="M195" s="1"/>
      <c r="N195" s="1"/>
      <c r="O195" s="1"/>
      <c r="P195" s="177"/>
      <c r="Q195" s="89"/>
      <c r="R195" s="185">
        <f>(Q194/R192)*100%</f>
        <v>0.10121268422374811</v>
      </c>
      <c r="S195" s="89"/>
      <c r="U195" s="1"/>
    </row>
    <row r="196" spans="1:21" x14ac:dyDescent="0.35">
      <c r="A196" s="175"/>
      <c r="B196" s="1"/>
      <c r="C196" s="1"/>
      <c r="D196" s="1"/>
      <c r="E196" s="1"/>
      <c r="F196" s="1"/>
      <c r="G196" s="1"/>
      <c r="H196" s="117"/>
      <c r="I196" s="176"/>
      <c r="J196" s="175"/>
      <c r="K196" s="1"/>
      <c r="L196" s="125" t="s">
        <v>214</v>
      </c>
      <c r="M196" s="1"/>
      <c r="N196" s="1"/>
      <c r="O196" s="1"/>
      <c r="P196" s="177"/>
      <c r="Q196" s="89" t="s">
        <v>215</v>
      </c>
      <c r="R196" s="1"/>
      <c r="S196" s="89"/>
      <c r="U196" s="182">
        <f>U193/700</f>
        <v>0</v>
      </c>
    </row>
    <row r="197" spans="1:21" x14ac:dyDescent="0.35">
      <c r="A197" s="186"/>
      <c r="B197" s="64"/>
      <c r="C197" s="64"/>
      <c r="D197" s="64"/>
      <c r="E197" s="64"/>
      <c r="F197" s="64"/>
      <c r="G197" s="64"/>
      <c r="H197" s="63"/>
      <c r="I197" s="151"/>
      <c r="J197" s="186"/>
      <c r="K197" s="64"/>
      <c r="L197" s="187" t="s">
        <v>216</v>
      </c>
      <c r="M197" s="64"/>
      <c r="N197" s="64"/>
      <c r="O197" s="64"/>
      <c r="P197" s="65"/>
      <c r="Q197" s="89">
        <f>P174</f>
        <v>5801673</v>
      </c>
      <c r="R197" s="89"/>
      <c r="S197" s="188"/>
      <c r="U197" s="1"/>
    </row>
  </sheetData>
  <mergeCells count="279">
    <mergeCell ref="A189:O189"/>
    <mergeCell ref="H187:I188"/>
    <mergeCell ref="J187:K188"/>
    <mergeCell ref="L187:M188"/>
    <mergeCell ref="N187:O188"/>
    <mergeCell ref="P187:P188"/>
    <mergeCell ref="H1:I2"/>
    <mergeCell ref="J1:K2"/>
    <mergeCell ref="L1:M2"/>
    <mergeCell ref="N1:O2"/>
    <mergeCell ref="B1:G2"/>
    <mergeCell ref="P166:P169"/>
    <mergeCell ref="B175:F175"/>
    <mergeCell ref="B176:F176"/>
    <mergeCell ref="B177:F177"/>
    <mergeCell ref="B178:F178"/>
    <mergeCell ref="P179:P180"/>
    <mergeCell ref="P171:P173"/>
    <mergeCell ref="P185:P186"/>
    <mergeCell ref="H182:I183"/>
    <mergeCell ref="J182:K183"/>
    <mergeCell ref="L182:M183"/>
    <mergeCell ref="N182:O183"/>
    <mergeCell ref="P182:P183"/>
    <mergeCell ref="A171:A173"/>
    <mergeCell ref="H171:I173"/>
    <mergeCell ref="J171:K173"/>
    <mergeCell ref="L171:M173"/>
    <mergeCell ref="N171:O173"/>
    <mergeCell ref="A166:A169"/>
    <mergeCell ref="H166:I169"/>
    <mergeCell ref="J166:K169"/>
    <mergeCell ref="L166:M169"/>
    <mergeCell ref="N166:O169"/>
    <mergeCell ref="P148:P149"/>
    <mergeCell ref="P155:P156"/>
    <mergeCell ref="H151:I153"/>
    <mergeCell ref="J151:K153"/>
    <mergeCell ref="L151:M153"/>
    <mergeCell ref="N151:O153"/>
    <mergeCell ref="P151:P153"/>
    <mergeCell ref="P163:P164"/>
    <mergeCell ref="H158:I159"/>
    <mergeCell ref="J158:K159"/>
    <mergeCell ref="L158:M159"/>
    <mergeCell ref="N158:O159"/>
    <mergeCell ref="P158:P159"/>
    <mergeCell ref="H136:I137"/>
    <mergeCell ref="J136:K137"/>
    <mergeCell ref="L136:M137"/>
    <mergeCell ref="N136:O137"/>
    <mergeCell ref="P136:P137"/>
    <mergeCell ref="P139:P140"/>
    <mergeCell ref="H143:I144"/>
    <mergeCell ref="J143:K144"/>
    <mergeCell ref="L143:M144"/>
    <mergeCell ref="N143:O144"/>
    <mergeCell ref="P143:P144"/>
    <mergeCell ref="H141:I142"/>
    <mergeCell ref="J141:K142"/>
    <mergeCell ref="L141:M142"/>
    <mergeCell ref="N141:O142"/>
    <mergeCell ref="P141:P142"/>
    <mergeCell ref="H125:I126"/>
    <mergeCell ref="J125:K126"/>
    <mergeCell ref="L125:M126"/>
    <mergeCell ref="N125:O126"/>
    <mergeCell ref="P125:P126"/>
    <mergeCell ref="P127:P128"/>
    <mergeCell ref="H133:I134"/>
    <mergeCell ref="J133:K134"/>
    <mergeCell ref="L133:M134"/>
    <mergeCell ref="N133:O134"/>
    <mergeCell ref="P133:P134"/>
    <mergeCell ref="H130:I131"/>
    <mergeCell ref="J130:K131"/>
    <mergeCell ref="L130:M131"/>
    <mergeCell ref="N130:O131"/>
    <mergeCell ref="P130:P131"/>
    <mergeCell ref="H123:I124"/>
    <mergeCell ref="J123:K124"/>
    <mergeCell ref="L123:M124"/>
    <mergeCell ref="N123:O124"/>
    <mergeCell ref="P123:P124"/>
    <mergeCell ref="H121:I122"/>
    <mergeCell ref="J121:K122"/>
    <mergeCell ref="L121:M122"/>
    <mergeCell ref="N121:O122"/>
    <mergeCell ref="P121:P122"/>
    <mergeCell ref="H117:I118"/>
    <mergeCell ref="J117:K118"/>
    <mergeCell ref="L117:M118"/>
    <mergeCell ref="N117:O118"/>
    <mergeCell ref="P117:P118"/>
    <mergeCell ref="H119:I120"/>
    <mergeCell ref="J119:K120"/>
    <mergeCell ref="L119:M120"/>
    <mergeCell ref="N119:O120"/>
    <mergeCell ref="P119:P120"/>
    <mergeCell ref="P109:P110"/>
    <mergeCell ref="H114:I115"/>
    <mergeCell ref="J114:K115"/>
    <mergeCell ref="L114:M115"/>
    <mergeCell ref="N114:O115"/>
    <mergeCell ref="P114:P115"/>
    <mergeCell ref="H112:I113"/>
    <mergeCell ref="J112:K113"/>
    <mergeCell ref="L112:M113"/>
    <mergeCell ref="N112:O113"/>
    <mergeCell ref="P112:P113"/>
    <mergeCell ref="P95:P96"/>
    <mergeCell ref="H98:I99"/>
    <mergeCell ref="J98:K99"/>
    <mergeCell ref="L98:M99"/>
    <mergeCell ref="N98:O99"/>
    <mergeCell ref="P98:P99"/>
    <mergeCell ref="H106:I107"/>
    <mergeCell ref="J106:K107"/>
    <mergeCell ref="L106:M107"/>
    <mergeCell ref="N106:O107"/>
    <mergeCell ref="P106:P107"/>
    <mergeCell ref="P101:P102"/>
    <mergeCell ref="H104:I105"/>
    <mergeCell ref="J104:K105"/>
    <mergeCell ref="L104:M105"/>
    <mergeCell ref="N104:O105"/>
    <mergeCell ref="P104:P105"/>
    <mergeCell ref="A93:A94"/>
    <mergeCell ref="H93:I94"/>
    <mergeCell ref="J93:K94"/>
    <mergeCell ref="L93:M94"/>
    <mergeCell ref="N93:O94"/>
    <mergeCell ref="P93:P94"/>
    <mergeCell ref="H91:I92"/>
    <mergeCell ref="J91:K92"/>
    <mergeCell ref="L91:M92"/>
    <mergeCell ref="N91:O92"/>
    <mergeCell ref="P91:P92"/>
    <mergeCell ref="P85:P86"/>
    <mergeCell ref="H88:I89"/>
    <mergeCell ref="J88:K89"/>
    <mergeCell ref="L88:M89"/>
    <mergeCell ref="N88:O89"/>
    <mergeCell ref="P88:P89"/>
    <mergeCell ref="H90:I90"/>
    <mergeCell ref="J90:K90"/>
    <mergeCell ref="L90:M90"/>
    <mergeCell ref="N90:O90"/>
    <mergeCell ref="A82:A83"/>
    <mergeCell ref="H82:I83"/>
    <mergeCell ref="J82:K83"/>
    <mergeCell ref="L82:M83"/>
    <mergeCell ref="N82:O83"/>
    <mergeCell ref="P82:P83"/>
    <mergeCell ref="A80:A81"/>
    <mergeCell ref="H80:I81"/>
    <mergeCell ref="J80:K81"/>
    <mergeCell ref="L80:M81"/>
    <mergeCell ref="N80:O81"/>
    <mergeCell ref="P80:P81"/>
    <mergeCell ref="A74:A75"/>
    <mergeCell ref="H74:I75"/>
    <mergeCell ref="J74:K75"/>
    <mergeCell ref="L74:M75"/>
    <mergeCell ref="N74:O75"/>
    <mergeCell ref="P74:P75"/>
    <mergeCell ref="A78:A79"/>
    <mergeCell ref="H78:I79"/>
    <mergeCell ref="J78:K79"/>
    <mergeCell ref="L78:M79"/>
    <mergeCell ref="N78:O79"/>
    <mergeCell ref="A76:A77"/>
    <mergeCell ref="H76:I77"/>
    <mergeCell ref="J76:K77"/>
    <mergeCell ref="L76:M77"/>
    <mergeCell ref="N76:O77"/>
    <mergeCell ref="P78:P79"/>
    <mergeCell ref="P76:P77"/>
    <mergeCell ref="P68:P69"/>
    <mergeCell ref="P66:P67"/>
    <mergeCell ref="A72:A73"/>
    <mergeCell ref="H72:I73"/>
    <mergeCell ref="J72:K73"/>
    <mergeCell ref="L72:M73"/>
    <mergeCell ref="N72:O73"/>
    <mergeCell ref="A70:A71"/>
    <mergeCell ref="H70:I71"/>
    <mergeCell ref="J70:K71"/>
    <mergeCell ref="L70:M71"/>
    <mergeCell ref="N70:O71"/>
    <mergeCell ref="P70:P71"/>
    <mergeCell ref="P72:P73"/>
    <mergeCell ref="A68:A69"/>
    <mergeCell ref="H68:I69"/>
    <mergeCell ref="J68:K69"/>
    <mergeCell ref="L68:M69"/>
    <mergeCell ref="N68:O69"/>
    <mergeCell ref="A66:A67"/>
    <mergeCell ref="H66:I67"/>
    <mergeCell ref="J66:K67"/>
    <mergeCell ref="L66:M67"/>
    <mergeCell ref="N66:O67"/>
    <mergeCell ref="P58:P59"/>
    <mergeCell ref="A64:A65"/>
    <mergeCell ref="H64:I65"/>
    <mergeCell ref="J64:K65"/>
    <mergeCell ref="L64:M65"/>
    <mergeCell ref="N64:O65"/>
    <mergeCell ref="A62:A63"/>
    <mergeCell ref="H62:I63"/>
    <mergeCell ref="J62:K63"/>
    <mergeCell ref="L62:M63"/>
    <mergeCell ref="N62:O63"/>
    <mergeCell ref="P62:P63"/>
    <mergeCell ref="H60:I61"/>
    <mergeCell ref="J60:K61"/>
    <mergeCell ref="L60:M61"/>
    <mergeCell ref="N60:O61"/>
    <mergeCell ref="P60:P61"/>
    <mergeCell ref="P64:P65"/>
    <mergeCell ref="A58:A59"/>
    <mergeCell ref="H58:I59"/>
    <mergeCell ref="J58:K59"/>
    <mergeCell ref="L58:M59"/>
    <mergeCell ref="N58:O59"/>
    <mergeCell ref="A56:A57"/>
    <mergeCell ref="H56:I57"/>
    <mergeCell ref="J56:K57"/>
    <mergeCell ref="L56:M57"/>
    <mergeCell ref="N56:O57"/>
    <mergeCell ref="P49:P50"/>
    <mergeCell ref="P43:P44"/>
    <mergeCell ref="H54:I55"/>
    <mergeCell ref="J54:J55"/>
    <mergeCell ref="L54:M55"/>
    <mergeCell ref="N54:O55"/>
    <mergeCell ref="P54:P55"/>
    <mergeCell ref="H52:I53"/>
    <mergeCell ref="J52:K53"/>
    <mergeCell ref="L52:M53"/>
    <mergeCell ref="N52:O53"/>
    <mergeCell ref="P52:P53"/>
    <mergeCell ref="P56:P57"/>
    <mergeCell ref="P37:P38"/>
    <mergeCell ref="B29:O29"/>
    <mergeCell ref="P29:P30"/>
    <mergeCell ref="A46:A47"/>
    <mergeCell ref="H46:I47"/>
    <mergeCell ref="J46:K47"/>
    <mergeCell ref="L46:M47"/>
    <mergeCell ref="N46:O47"/>
    <mergeCell ref="P46:P47"/>
    <mergeCell ref="A40:A41"/>
    <mergeCell ref="H40:I41"/>
    <mergeCell ref="J40:K41"/>
    <mergeCell ref="L40:M41"/>
    <mergeCell ref="N40:O41"/>
    <mergeCell ref="P40:P41"/>
    <mergeCell ref="A21:A22"/>
    <mergeCell ref="P21:P22"/>
    <mergeCell ref="H24:I26"/>
    <mergeCell ref="J24:K26"/>
    <mergeCell ref="L24:M26"/>
    <mergeCell ref="N24:O26"/>
    <mergeCell ref="P24:P26"/>
    <mergeCell ref="B32:G32"/>
    <mergeCell ref="H32:I32"/>
    <mergeCell ref="L32:M32"/>
    <mergeCell ref="N32:O32"/>
    <mergeCell ref="A1:A2"/>
    <mergeCell ref="P1:P2"/>
    <mergeCell ref="P14:P15"/>
    <mergeCell ref="H17:I17"/>
    <mergeCell ref="L17:M17"/>
    <mergeCell ref="N17:O17"/>
    <mergeCell ref="P9:P10"/>
    <mergeCell ref="H12:I12"/>
    <mergeCell ref="L12:M12"/>
    <mergeCell ref="N12:O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Inzazi Nurmujaini</dc:creator>
  <cp:lastModifiedBy>Inzazi Nurmujaini</cp:lastModifiedBy>
  <dcterms:created xsi:type="dcterms:W3CDTF">2025-06-02T02:02:42Z</dcterms:created>
  <dcterms:modified xsi:type="dcterms:W3CDTF">2026-02-05T11:35:30Z</dcterms:modified>
</cp:coreProperties>
</file>